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nerliste" sheetId="1" state="visible" r:id="rId3"/>
    <sheet name="FTT-Kaufpreise" sheetId="2" state="visible" r:id="rId4"/>
    <sheet name="Reguläre Preise" sheetId="3" state="visible" r:id="rId5"/>
    <sheet name="Bonuspartner" sheetId="4" state="visible" r:id="rId6"/>
    <sheet name="Quellen &amp; Grenzen" sheetId="5" state="visible" r:id="rId7"/>
    <sheet name="Start" sheetId="6" state="visible" r:id="rId8"/>
    <sheet name="Preisvergleich je Partner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<sst xmlns="http://schemas.openxmlformats.org/spreadsheetml/2006/main" count="4903" uniqueCount="1147">
  <si>
    <t xml:space="preserve">Freizeitticket Tirol 2026/27 – Partnerorte</t>
  </si>
  <si>
    <t xml:space="preserve">Vergleichspreise ohne Freizeitticket stehen direkt in Spalten L:Q. Saison, Ticketart und Quelle sind je Zeile angegeben; nicht verifizierte Preise sind ausdrücklich gekennzeichnet.</t>
  </si>
  <si>
    <t xml:space="preserve">Kategorie</t>
  </si>
  <si>
    <t xml:space="preserve">Ort / Partner</t>
  </si>
  <si>
    <t xml:space="preserve">Gemeinde / Region</t>
  </si>
  <si>
    <t xml:space="preserve">Saison</t>
  </si>
  <si>
    <t xml:space="preserve">Inkludierte Leistung</t>
  </si>
  <si>
    <t xml:space="preserve">Freizeitticket: Häufigkeit / Zeitlimit</t>
  </si>
  <si>
    <t xml:space="preserve">Sonderbedingungen / Ausschlüsse</t>
  </si>
  <si>
    <t xml:space="preserve">Freizeitticket-Detailseite</t>
  </si>
  <si>
    <t xml:space="preserve">Tarifquelle / weitere Info</t>
  </si>
  <si>
    <t xml:space="preserve">Status regulärer Preis</t>
  </si>
  <si>
    <t xml:space="preserve">Geprüft am</t>
  </si>
  <si>
    <t xml:space="preserve">Vergleichspreis Erwachsene</t>
  </si>
  <si>
    <t xml:space="preserve">Vergleichspreis Kind</t>
  </si>
  <si>
    <t xml:space="preserve">Verglichene Ticketart</t>
  </si>
  <si>
    <t xml:space="preserve">Tarifzeitraum / Preisstand</t>
  </si>
  <si>
    <t xml:space="preserve">Quelle des regulären Preises</t>
  </si>
  <si>
    <t xml:space="preserve">Status / Hinweise</t>
  </si>
  <si>
    <t xml:space="preserve">Skigebiet / Lift</t>
  </si>
  <si>
    <t xml:space="preserve">Axamer Lizum</t>
  </si>
  <si>
    <t xml:space="preserve">Axams / Axamer Lizum</t>
  </si>
  <si>
    <t xml:space="preserve">Winter; Sommer bei Bergbahn siehe Spalte Leistung</t>
  </si>
  <si>
    <t xml:space="preserve">Skifahren/Snowboard; Sommer-Bergbahn zusätzlich gelistet</t>
  </si>
  <si>
    <t xml:space="preserve">Reguläre Nutzung während der Betriebszeiten; etwaige Sternchen-/Partner-Sonderregelung vor Besuch in AGB und Partnerseite prüfen.</t>
  </si>
  <si>
    <t xml:space="preserve">Saison- und wetterabhängige Betriebszeiten; Öffnungstage/Revisionen direkt prüfen.</t>
  </si>
  <si>
    <t xml:space="preserve">https://www.freizeitticket.at/axamer-lizum/</t>
  </si>
  <si>
    <t xml:space="preserve">https://www.freizeitticket.at/winter/ski-snowboard/</t>
  </si>
  <si>
    <t xml:space="preserve">Preis und Vergleichstarif eingetragen; Details in Spalten L:Q.</t>
  </si>
  <si>
    <t xml:space="preserve">27.10.2026</t>
  </si>
  <si>
    <t xml:space="preserve">€ 67,00</t>
  </si>
  <si>
    <t xml:space="preserve">€ 40,00</t>
  </si>
  <si>
    <t xml:space="preserve">1-Tages-Skipass</t>
  </si>
  <si>
    <t xml:space="preserve">Winter 2026/27, Hauptsaison</t>
  </si>
  <si>
    <t xml:space="preserve">https://www.schneehoehen.de/skigebiete/preise/axamer-lizum</t>
  </si>
  <si>
    <t xml:space="preserve">Preis laut veröffentlichter 2026/27-Tabelle; laut Quelle ohne Gewähr.</t>
  </si>
  <si>
    <t xml:space="preserve">Kappl</t>
  </si>
  <si>
    <t xml:space="preserve">Kappl, Paznaun</t>
  </si>
  <si>
    <t xml:space="preserve">Saison- und wetterabhängige Betriebszeiten; Öffnungstage/Revisionen direkt prüfen. Rodelangebot wird auf der offiziellen Rodelübersicht geführt; Verleih nicht automatisch inkludiert.</t>
  </si>
  <si>
    <t xml:space="preserve">https://www.freizeitticket.at/kappl/</t>
  </si>
  <si>
    <t xml:space="preserve">€ 73,00</t>
  </si>
  <si>
    <t xml:space="preserve">€ 47,00</t>
  </si>
  <si>
    <t xml:space="preserve">1-Tages-Skipass Kappl–See</t>
  </si>
  <si>
    <t xml:space="preserve">Winter 2026/27, Hauptsaison; Sekundärquelle</t>
  </si>
  <si>
    <t xml:space="preserve">https://www.schneehoehen.at/skigebiete/preise/bergbahnen-see</t>
  </si>
  <si>
    <t xml:space="preserve">Vor Kauf bitte offiziellen Shop abgleichen; Preis aus Preisübersicht.</t>
  </si>
  <si>
    <t xml:space="preserve">Kühtai</t>
  </si>
  <si>
    <t xml:space="preserve">Kühtai / Silz</t>
  </si>
  <si>
    <t xml:space="preserve">https://www.freizeitticket.at/kuehtai/</t>
  </si>
  <si>
    <t xml:space="preserve">€ 50,50–66,50</t>
  </si>
  <si>
    <t xml:space="preserve">€ 28,00–36,50</t>
  </si>
  <si>
    <t xml:space="preserve">Winter 2026/27; saisonabhängig</t>
  </si>
  <si>
    <t xml:space="preserve">https://www.kuehtai.info/winter/skipass-preise/</t>
  </si>
  <si>
    <t xml:space="preserve">Nebensaison-/Topsaisonpreis, daher Spanne.</t>
  </si>
  <si>
    <t xml:space="preserve">Rosshütte Seefeld</t>
  </si>
  <si>
    <t xml:space="preserve">Seefeld in Tirol</t>
  </si>
  <si>
    <t xml:space="preserve">https://www.freizeitticket.at/rosshuette-seefeld/</t>
  </si>
  <si>
    <t xml:space="preserve">https://www.seefeld.com/de/rosshuette-preise-oeffnungszeiten-sommer.html</t>
  </si>
  <si>
    <t xml:space="preserve">€ 27,00</t>
  </si>
  <si>
    <t xml:space="preserve">€ 17,00</t>
  </si>
  <si>
    <t xml:space="preserve">Berg- und Talfahrt Standseilbahn bis Rosshütte</t>
  </si>
  <si>
    <t xml:space="preserve">Sommer-/Sichtfahrttarif veröffentlicht 2026</t>
  </si>
  <si>
    <t xml:space="preserve">https://www.seefeld.com/de/rosshuette-skipasspreise.html</t>
  </si>
  <si>
    <t xml:space="preserve">Nicht Ski-Tageskarte; Preise für Berg-/Talfahrt.</t>
  </si>
  <si>
    <t xml:space="preserve">Silvretta Galtür</t>
  </si>
  <si>
    <t xml:space="preserve">Galtür</t>
  </si>
  <si>
    <t xml:space="preserve">https://www.freizeitticket.at/silvretta-galtuer/</t>
  </si>
  <si>
    <t xml:space="preserve">€ 60,00–63,00</t>
  </si>
  <si>
    <t xml:space="preserve">€ 37,00</t>
  </si>
  <si>
    <t xml:space="preserve">1-Tages-Skipass Silvapark</t>
  </si>
  <si>
    <t xml:space="preserve">https://www.galtuer.com/de/winter/betriebszeiten-preise/skipasspreise-silvapark</t>
  </si>
  <si>
    <t xml:space="preserve">Nebensaison-/Hauptsaisonpreis; Kind/Jugend 8–18.</t>
  </si>
  <si>
    <t xml:space="preserve">Bergeralm</t>
  </si>
  <si>
    <t xml:space="preserve">Steinach am Brenner</t>
  </si>
  <si>
    <t xml:space="preserve">https://www.freizeitticket.at/berger-alm/</t>
  </si>
  <si>
    <t xml:space="preserve">€ 60,20</t>
  </si>
  <si>
    <t xml:space="preserve">€ 36,10</t>
  </si>
  <si>
    <t xml:space="preserve">Winter 2026/27</t>
  </si>
  <si>
    <t xml:space="preserve">https://www.bergeralm.net/winterpreise/</t>
  </si>
  <si>
    <t xml:space="preserve">Erwachsene / Kinder laut aktueller offizieller Preisliste.</t>
  </si>
  <si>
    <t xml:space="preserve">Elferbahnen</t>
  </si>
  <si>
    <t xml:space="preserve">Neustift im Stubaital</t>
  </si>
  <si>
    <t xml:space="preserve">https://www.freizeitticket.at/elferbahnen/</t>
  </si>
  <si>
    <t xml:space="preserve">Erwachsenenpreis eingetragen; Kinderpreis nicht separat verifiziert.</t>
  </si>
  <si>
    <t xml:space="preserve">€ 48,50</t>
  </si>
  <si>
    <t xml:space="preserve">Preis online nicht eindeutig gefunden</t>
  </si>
  <si>
    <t xml:space="preserve">Letzter auffindbarer Preis: Winter 2025/26</t>
  </si>
  <si>
    <t xml:space="preserve">https://www.bergfex.at/stubaital-neustift/</t>
  </si>
  <si>
    <t xml:space="preserve">Erwachsenenpreis aus Skigebietsübersicht; Kinderpreis nicht sicher geprüft; Jahrgang der Übersicht beachten. Quelle für den genannten Tagespreis: BERGFEX-Skigebietsübersicht.</t>
  </si>
  <si>
    <t xml:space="preserve">Glungezer</t>
  </si>
  <si>
    <t xml:space="preserve">Tulfes</t>
  </si>
  <si>
    <t xml:space="preserve">https://www.freizeitticket.at/glungezer/</t>
  </si>
  <si>
    <t xml:space="preserve">Preis vorhanden, aber Tarifperiode beachten; kein bestätigter 2026/27-Tarif.</t>
  </si>
  <si>
    <t xml:space="preserve">€ 50,00</t>
  </si>
  <si>
    <t xml:space="preserve">€ 29,50</t>
  </si>
  <si>
    <t xml:space="preserve">Hauptsaison 2025/26 – Vorjahrespreis</t>
  </si>
  <si>
    <t xml:space="preserve">https://www.bergfex.at/glungezer/preise/</t>
  </si>
  <si>
    <t xml:space="preserve">Keine vollständig bestätigte Preisliste 2026/27 gefunden.</t>
  </si>
  <si>
    <t xml:space="preserve">Skiregion Gurgl</t>
  </si>
  <si>
    <t xml:space="preserve">Obergurgl / Hochgurgl</t>
  </si>
  <si>
    <t xml:space="preserve">https://www.freizeitticket.at/skiregion-gurgl/</t>
  </si>
  <si>
    <t xml:space="preserve">€ 64,00–75,50</t>
  </si>
  <si>
    <t xml:space="preserve">€ 34,50–42,50</t>
  </si>
  <si>
    <t xml:space="preserve">https://www.obergurgl-hochgurgl.at/de/skipass-preise-obergurgl-hochgurgl.php</t>
  </si>
  <si>
    <t xml:space="preserve">Vorsaison bis Top-Saison; Kinderpreis altersabhängig.</t>
  </si>
  <si>
    <t xml:space="preserve">Hochkössen</t>
  </si>
  <si>
    <t xml:space="preserve">Kössen</t>
  </si>
  <si>
    <t xml:space="preserve">https://www.freizeitticket.at/hochkoessen/</t>
  </si>
  <si>
    <t xml:space="preserve">Regulärer Erwachsenenpreis nicht belastbar gefunden; nicht geschätzt.</t>
  </si>
  <si>
    <t xml:space="preserve">Tarif 2026/27 nicht verifiziert</t>
  </si>
  <si>
    <t xml:space="preserve">Freizeitticket-Partnerseite: Keinen Preis schätzen; Betreiberseite vor Besuch prüfen. Regulärer Einzelpreis nicht zuverlässig gefunden; daher kein Preis geschätzt.</t>
  </si>
  <si>
    <t xml:space="preserve">Nordkette</t>
  </si>
  <si>
    <t xml:space="preserve">Innsbruck</t>
  </si>
  <si>
    <t xml:space="preserve">https://www.freizeitticket.at/nordkette/</t>
  </si>
  <si>
    <t xml:space="preserve">€ 56,00</t>
  </si>
  <si>
    <t xml:space="preserve">€ 33,60</t>
  </si>
  <si>
    <t xml:space="preserve">Top of Innsbruck Berg- und Talfahrt</t>
  </si>
  <si>
    <t xml:space="preserve">Veröffentlichter Sightseeing-Tarif, nicht Ski-Tageskarte</t>
  </si>
  <si>
    <t xml:space="preserve">https://nordkette.com/service/tarife/</t>
  </si>
  <si>
    <t xml:space="preserve">Für Winter-Skitageskarten gilt ein anderer Tarif; hier ist eine Berg-/Talfahrt angegeben.</t>
  </si>
  <si>
    <t xml:space="preserve">Ischgl (Silvretta Seilbahn)</t>
  </si>
  <si>
    <t xml:space="preserve">Ischgl</t>
  </si>
  <si>
    <t xml:space="preserve">3 Zutritte pro Saison; Zugang ausschließlich Ischgl-Einstieg, nicht Samnaun.</t>
  </si>
  <si>
    <t xml:space="preserve">Maximal 3 Zutritte. Nur erster Einstieg in Ischgl, nicht Samnaun; Konzert-/Sonderveranstaltungstage können ausgenommen sein. Saison- und wetterabhängige Betriebszeiten; Öffnungstage/Revisionen direkt prüfen.</t>
  </si>
  <si>
    <t xml:space="preserve">https://www.freizeitticket.at/ischgl/</t>
  </si>
  <si>
    <t xml:space="preserve">https://tickets.ischgl.com/de/winter/support/prices</t>
  </si>
  <si>
    <t xml:space="preserve">€ 83,00</t>
  </si>
  <si>
    <t xml:space="preserve">€ 51,00</t>
  </si>
  <si>
    <t xml:space="preserve">1-Tages-Skipass Silvretta</t>
  </si>
  <si>
    <t xml:space="preserve">https://www.ischgl.com/de/winter/betriebszeiten-preise/skipasspreise-silvretta</t>
  </si>
  <si>
    <t xml:space="preserve">Regulärer 1-Tages-Tarif; Freizeitticket-Nutzung selbst ist separat beschränkt.</t>
  </si>
  <si>
    <t xml:space="preserve">Katzenkopf Leutasch</t>
  </si>
  <si>
    <t xml:space="preserve">Leutasch</t>
  </si>
  <si>
    <t xml:space="preserve">https://www.freizeitticket.at/katzenkopf-leutasch/</t>
  </si>
  <si>
    <t xml:space="preserve">€ 41,00</t>
  </si>
  <si>
    <t xml:space="preserve">€ 27,50</t>
  </si>
  <si>
    <t xml:space="preserve">https://www.bergfex.at/katzenkopf-leutasch/preise/</t>
  </si>
  <si>
    <t xml:space="preserve">Kein abschließend bestätigter Preis 2026/27 gefunden.</t>
  </si>
  <si>
    <t xml:space="preserve">Kellerjoch</t>
  </si>
  <si>
    <t xml:space="preserve">Schwaz / Pill</t>
  </si>
  <si>
    <t xml:space="preserve">https://www.freizeitticket.at/kellerjoch/</t>
  </si>
  <si>
    <t xml:space="preserve">€ 45,50</t>
  </si>
  <si>
    <t xml:space="preserve">€ 26,00</t>
  </si>
  <si>
    <t xml:space="preserve">https://www.bergfex.at/kellerjoch/preise/</t>
  </si>
  <si>
    <t xml:space="preserve">Muttereralm</t>
  </si>
  <si>
    <t xml:space="preserve">Mutters / Götzens</t>
  </si>
  <si>
    <t xml:space="preserve">https://www.freizeitticket.at/muttereralm/</t>
  </si>
  <si>
    <t xml:space="preserve">€ 28,00</t>
  </si>
  <si>
    <t xml:space="preserve">€ 19,00</t>
  </si>
  <si>
    <t xml:space="preserve">Sommer-Berg- und Talfahrt</t>
  </si>
  <si>
    <t xml:space="preserve">Sommer 2025/26, letzter auffindbarer Tarif</t>
  </si>
  <si>
    <t xml:space="preserve">https://www.bergfex.at/muttereralm/preise/</t>
  </si>
  <si>
    <t xml:space="preserve">Sommer-Berg-/Talfahrt, kein Winter-Skipass; Tarifzeitraum unbedingt beachten.</t>
  </si>
  <si>
    <t xml:space="preserve">Patscherkofel</t>
  </si>
  <si>
    <t xml:space="preserve">Igls / Innsbruck</t>
  </si>
  <si>
    <t xml:space="preserve">https://www.freizeitticket.at/patscherkofel/</t>
  </si>
  <si>
    <t xml:space="preserve">€ 33,00</t>
  </si>
  <si>
    <t xml:space="preserve">€ 18,00</t>
  </si>
  <si>
    <t xml:space="preserve">Kofel Ticket Berg- und Talfahrt</t>
  </si>
  <si>
    <t xml:space="preserve">Sommersaison 14.05.–01.11.2026</t>
  </si>
  <si>
    <t xml:space="preserve">https://www.patscherkofelbahn.at/preise/</t>
  </si>
  <si>
    <t xml:space="preserve">Einzelfahrt Erw. €22,30 / Kind €12,20; Saisonkarte Sommer Erw. €325, Kind €199. Kofel Card 2026/27 separat erhältlich.</t>
  </si>
  <si>
    <t xml:space="preserve">Rangger Köpfl</t>
  </si>
  <si>
    <t xml:space="preserve">Oberperfuss</t>
  </si>
  <si>
    <t xml:space="preserve">https://www.freizeitticket.at/rangger-koepfl/</t>
  </si>
  <si>
    <t xml:space="preserve">€ 49,00</t>
  </si>
  <si>
    <t xml:space="preserve">https://rangger-koepfl.at/winter/tarife/</t>
  </si>
  <si>
    <t xml:space="preserve">Tageskarte; Kind/Jugend laut Preisliste.</t>
  </si>
  <si>
    <t xml:space="preserve">Schlick 2000</t>
  </si>
  <si>
    <t xml:space="preserve">Fulpmes</t>
  </si>
  <si>
    <t xml:space="preserve">https://www.freizeitticket.at/schlick-2000/</t>
  </si>
  <si>
    <t xml:space="preserve">€ 58,50</t>
  </si>
  <si>
    <t xml:space="preserve">€ 29,80</t>
  </si>
  <si>
    <t xml:space="preserve">https://www.bergfex.at/schlick/preise/</t>
  </si>
  <si>
    <t xml:space="preserve">2026/27-Preis nicht unabhängig bestätigt; nicht als aktueller Saisonpreis verwenden.</t>
  </si>
  <si>
    <t xml:space="preserve">Seefeld Birkenlift</t>
  </si>
  <si>
    <t xml:space="preserve">Skifahren/Snowboard; keine Sommer-Bergbahn in der 21er-Sommerliste</t>
  </si>
  <si>
    <t xml:space="preserve">https://www.freizeitticket.at/birkenlift/</t>
  </si>
  <si>
    <t xml:space="preserve">€ 33,50</t>
  </si>
  <si>
    <t xml:space="preserve">Tageskarte ab 09:00</t>
  </si>
  <si>
    <t xml:space="preserve">https://www.seefeld.com/de/birkenlift-geigenbuehel.html</t>
  </si>
  <si>
    <t xml:space="preserve">Erwachsene ab 16, Kinder 6–15. Freizeitticket selbst ist gültig.</t>
  </si>
  <si>
    <t xml:space="preserve">Serlesbahn Mieders</t>
  </si>
  <si>
    <t xml:space="preserve">Mieders</t>
  </si>
  <si>
    <t xml:space="preserve">https://www.freizeitticket.at/serlesbahn-mieders/</t>
  </si>
  <si>
    <t xml:space="preserve">€ 48,00</t>
  </si>
  <si>
    <t xml:space="preserve">€ 26,50</t>
  </si>
  <si>
    <t xml:space="preserve">https://www.bergfex.at/mieders/preise/</t>
  </si>
  <si>
    <t xml:space="preserve">Kein bestätigter 2026/27-Tarif verfügbar.</t>
  </si>
  <si>
    <t xml:space="preserve">Ski Arlberg</t>
  </si>
  <si>
    <t xml:space="preserve">St. Anton / Lech-Zürs / Stuben (FTT-Regel prüfen)</t>
  </si>
  <si>
    <t xml:space="preserve">3 Zutritte; ungenutzte Winterzutritte laut Partnerseite im Sommer möglich, Sommernutzung nur St. Anton.</t>
  </si>
  <si>
    <t xml:space="preserve">Maximal 3 Zutritte. Nicht im Winter verbrauchte Zutritte dürfen laut Partnerseite im Sommer genutzt werden; im Sommer nur in St. Anton. Einzelbesuch zählt als Zutritt. Saison- und wetterabhängige Betriebszeiten; Öffnungstage/Revisionen direkt prüfen.</t>
  </si>
  <si>
    <t xml:space="preserve">https://www.freizeitticket.at/ski-arlberg/</t>
  </si>
  <si>
    <t xml:space="preserve">https://www.skiarlberg.at/de/tickets-saisonzeiten/preise-tickets-winter</t>
  </si>
  <si>
    <t xml:space="preserve">€ 85,00</t>
  </si>
  <si>
    <t xml:space="preserve">Hauptsaison Winter 2026/27</t>
  </si>
  <si>
    <t xml:space="preserve">Hier nur der bestätigte 1-Tages-Tarif angegeben; Mehrtagespreise können saisonabhängig sein.</t>
  </si>
  <si>
    <t xml:space="preserve">Skilift Kolsassberg</t>
  </si>
  <si>
    <t xml:space="preserve">Kolsassberg</t>
  </si>
  <si>
    <t xml:space="preserve">https://www.freizeitticket.at/skilift-kolsassberg/</t>
  </si>
  <si>
    <t xml:space="preserve">Tageskarte</t>
  </si>
  <si>
    <t xml:space="preserve">Freizeitticket-Partnerseite: Keine aktuelle belastbare Preisliste gefunden. Regulärer Einzelpreis nicht zuverlässig gefunden; daher kein Preis geschätzt.</t>
  </si>
  <si>
    <t xml:space="preserve">Skilift Geigenbühel</t>
  </si>
  <si>
    <t xml:space="preserve">https://www.freizeitticket.at/geigenbuehel/</t>
  </si>
  <si>
    <t xml:space="preserve">Gemeinsame Preisübersicht Birkenlift/Geigenbühel; Kinder 6–15.</t>
  </si>
  <si>
    <t xml:space="preserve">Kinderland Rinn</t>
  </si>
  <si>
    <t xml:space="preserve">Rinn</t>
  </si>
  <si>
    <t xml:space="preserve">https://www.freizeitticket.at/kinderland-rinn/</t>
  </si>
  <si>
    <t xml:space="preserve">Tages-/Punktekarten je nach Betrieb</t>
  </si>
  <si>
    <t xml:space="preserve">Skilift Trins</t>
  </si>
  <si>
    <t xml:space="preserve">Trins</t>
  </si>
  <si>
    <t xml:space="preserve">https://www.freizeitticket.at/skilift-trins/</t>
  </si>
  <si>
    <t xml:space="preserve">€ 20,50</t>
  </si>
  <si>
    <t xml:space="preserve">Tageskarte (Übersichtspreis)</t>
  </si>
  <si>
    <t xml:space="preserve">Letzte auffindbare Preisübersicht; Saison nicht sicher</t>
  </si>
  <si>
    <t xml:space="preserve">https://www.skiresort.at/skigebiete/freizeitticket-tirol/</t>
  </si>
  <si>
    <t xml:space="preserve">Nur Erwachsenenpreis aus einer Skigebietsübersicht; aktueller Tarif nicht bestätigt.</t>
  </si>
  <si>
    <t xml:space="preserve">Sonnenbergbahn Milders</t>
  </si>
  <si>
    <t xml:space="preserve">Neustift / Milders</t>
  </si>
  <si>
    <t xml:space="preserve">https://www.freizeitticket.at/sonnenbahn-milders/</t>
  </si>
  <si>
    <t xml:space="preserve">Bergbahn-/Skitarif je nach Saison</t>
  </si>
  <si>
    <t xml:space="preserve">Freizeitticket-Partnerseite: Preis nicht geschätzt. Regulärer Einzelpreis nicht zuverlässig gefunden; daher kein Preis geschätzt.</t>
  </si>
  <si>
    <t xml:space="preserve">Sonnenberglift Gries im Sellrain</t>
  </si>
  <si>
    <t xml:space="preserve">Gries im Sellrain</t>
  </si>
  <si>
    <t xml:space="preserve">https://www.freizeitticket.at/sonnenberglift/</t>
  </si>
  <si>
    <t xml:space="preserve">Burglift Stans</t>
  </si>
  <si>
    <t xml:space="preserve">Stans</t>
  </si>
  <si>
    <t xml:space="preserve">https://www.freizeitticket.at/burglift-stans/</t>
  </si>
  <si>
    <t xml:space="preserve">€ 30,00</t>
  </si>
  <si>
    <t xml:space="preserve">Nur Erwachsenenpreis aus einer Skigebietsübersicht; aktuellen Tarif bestätigen.</t>
  </si>
  <si>
    <t xml:space="preserve">Stubaier Gletscher</t>
  </si>
  <si>
    <t xml:space="preserve">https://www.freizeitticket.at/stubaier-gletscher/</t>
  </si>
  <si>
    <t xml:space="preserve">https://shop.stubaier-gletscher.com/</t>
  </si>
  <si>
    <t xml:space="preserve">Dynamischer/Beispielpreis – vor Kauf neu prüfen.</t>
  </si>
  <si>
    <t xml:space="preserve">ca. € 64,20</t>
  </si>
  <si>
    <t xml:space="preserve">ca. € 32,10</t>
  </si>
  <si>
    <t xml:space="preserve">1-Tages-Skipass – dynamisches Beispiel</t>
  </si>
  <si>
    <t xml:space="preserve">Shop-Preisbeispiel 15.10.2026, nicht fix</t>
  </si>
  <si>
    <t xml:space="preserve">Preis dynamisch und abhängig von Buchungstag/Saison; vor Kauf live kontrollieren.</t>
  </si>
  <si>
    <t xml:space="preserve">Vögelsberg Wattens</t>
  </si>
  <si>
    <t xml:space="preserve">Wattens</t>
  </si>
  <si>
    <t xml:space="preserve">https://www.freizeitticket.at/voegelsberg/</t>
  </si>
  <si>
    <t xml:space="preserve">Liftkarte</t>
  </si>
  <si>
    <t xml:space="preserve">Hüttegglift</t>
  </si>
  <si>
    <t xml:space="preserve">Weerberg</t>
  </si>
  <si>
    <t xml:space="preserve">https://www.freizeitticket.at/huettegglift/</t>
  </si>
  <si>
    <t xml:space="preserve">Wildstättlift Wattenberg</t>
  </si>
  <si>
    <t xml:space="preserve">Wattenberg</t>
  </si>
  <si>
    <t xml:space="preserve">https://www.freizeitticket.at/wildstaettlift-wattenberg/</t>
  </si>
  <si>
    <t xml:space="preserve">Sommerfreibad</t>
  </si>
  <si>
    <t xml:space="preserve">Alpenbad Wattens</t>
  </si>
  <si>
    <t xml:space="preserve">Sommer</t>
  </si>
  <si>
    <t xml:space="preserve">Bad-/Schwimmeintritt inkludiert</t>
  </si>
  <si>
    <t xml:space="preserve">Eintritt laut Saison-/Betriebszeiten; übliche Freizeitticket-Leistung für Partnerbad/Badesee.</t>
  </si>
  <si>
    <t xml:space="preserve">Öffnung und Zutrittsdauer können saisonabhängig sein; bei Telfer Bad ggf. Sonderregelung laut AGB prüfen.</t>
  </si>
  <si>
    <t xml:space="preserve">https://www.freizeitticket.at/alpenbad-wattens/</t>
  </si>
  <si>
    <t xml:space="preserve">https://www.freizeitticket.at/sommer/schwimmen/</t>
  </si>
  <si>
    <t xml:space="preserve">€ 10,90</t>
  </si>
  <si>
    <t xml:space="preserve">€ 6,00</t>
  </si>
  <si>
    <t xml:space="preserve">Tageskarte ohne Bürgerkarte</t>
  </si>
  <si>
    <t xml:space="preserve">Badesaison 2026</t>
  </si>
  <si>
    <t xml:space="preserve">https://www.wattens.com/wp-content/uploads/2026/03/Kundmachung_-_signiert-3.pdf</t>
  </si>
  <si>
    <t xml:space="preserve">Mit Bürgerkarte günstiger; Volltarif Erw. 10,90 / Kind 6,00.</t>
  </si>
  <si>
    <t xml:space="preserve">Badesee</t>
  </si>
  <si>
    <t xml:space="preserve">Baggersee Rossau</t>
  </si>
  <si>
    <t xml:space="preserve">1 Eintritt pro Kalendertag in einem IKB-Bad; Freibad/See ganztägig während Saison; Sauna nicht inkludiert (sofern vorhanden).</t>
  </si>
  <si>
    <t xml:space="preserve">Bei Zeitüberschreitung Nachzahlung; IKB-Ticket gilt nicht für Sauna. An einem Tag nicht mehrere IKB-Bäder besuchen.</t>
  </si>
  <si>
    <t xml:space="preserve">https://www.freizeitticket.at/baggersee-rossau/</t>
  </si>
  <si>
    <t xml:space="preserve">https://www.ikb.at/baeder/baggersee-rossau</t>
  </si>
  <si>
    <t xml:space="preserve">€ 5,90</t>
  </si>
  <si>
    <t xml:space="preserve">€ 2,40</t>
  </si>
  <si>
    <t xml:space="preserve">Sommer 2026</t>
  </si>
  <si>
    <t xml:space="preserve">Kinder-/Jugendalter laut IKB-Tarif beachten; gratis ab 18:00 ohne beaufsichtigten Badebetrieb.</t>
  </si>
  <si>
    <t xml:space="preserve">Erlebnisschwimmbad Schwaz</t>
  </si>
  <si>
    <t xml:space="preserve">Schwaz</t>
  </si>
  <si>
    <t xml:space="preserve">https://www.freizeitticket.at/erlebnisschwimmbad-schwaz/</t>
  </si>
  <si>
    <t xml:space="preserve">€ 5,70</t>
  </si>
  <si>
    <t xml:space="preserve">€ 3,30</t>
  </si>
  <si>
    <t xml:space="preserve">https://www.schwaz.at/stadtleben/sport/sportanlagen-u-infrastruktur/erlebnisschwimmbad-schwaz/</t>
  </si>
  <si>
    <t xml:space="preserve">Ermäßigte Tarife, Familienpreise, 2-Stunden-/Abend- und Saisonkarten vorhanden.</t>
  </si>
  <si>
    <t xml:space="preserve">Familienbad Mutters</t>
  </si>
  <si>
    <t xml:space="preserve">Mutters</t>
  </si>
  <si>
    <t xml:space="preserve">https://www.freizeitticket.at/familienbad-mutters/</t>
  </si>
  <si>
    <t xml:space="preserve">€ 7,00</t>
  </si>
  <si>
    <t xml:space="preserve">€ 4,50</t>
  </si>
  <si>
    <t xml:space="preserve">https://www.mutters.gv.at/Unser_Mutters/Freizeit/Familienbad_Mutters</t>
  </si>
  <si>
    <t xml:space="preserve">Kinderpreis gilt für 5–14 Jahre; Nachmittags-/Abendtarife verfügbar.</t>
  </si>
  <si>
    <t xml:space="preserve">Freischwimmbad Steinach</t>
  </si>
  <si>
    <t xml:space="preserve">https://www.freizeitticket.at/freischwimmbad-steinach/</t>
  </si>
  <si>
    <t xml:space="preserve">€ 5,50</t>
  </si>
  <si>
    <t xml:space="preserve">€ 3,50</t>
  </si>
  <si>
    <t xml:space="preserve">https://www.steinach.gv.at/Einrichtungen/Infrastruktur/Schwimmbad</t>
  </si>
  <si>
    <t xml:space="preserve">10er-Block, Abend- und Saisonkarten verfügbar.</t>
  </si>
  <si>
    <t xml:space="preserve">Freischwimmbad Völser Badl</t>
  </si>
  <si>
    <t xml:space="preserve">Völs</t>
  </si>
  <si>
    <t xml:space="preserve">https://www.freizeitticket.at/voelser-badl/</t>
  </si>
  <si>
    <t xml:space="preserve">€ 6,50</t>
  </si>
  <si>
    <t xml:space="preserve">€ 3,00</t>
  </si>
  <si>
    <t xml:space="preserve">https://www.voels.at/Tarife_Voelser_Badl_</t>
  </si>
  <si>
    <t xml:space="preserve">Ermäßigter Tarif €4,00; Kinderpreis gilt laut Tarif für 6–14 Jahre.</t>
  </si>
  <si>
    <t xml:space="preserve">Schwimmbad Hall</t>
  </si>
  <si>
    <t xml:space="preserve">Hall in Tirol</t>
  </si>
  <si>
    <t xml:space="preserve">https://www.freizeitticket.at/schwimmbad-hall/</t>
  </si>
  <si>
    <t xml:space="preserve">€ 8,00</t>
  </si>
  <si>
    <t xml:space="preserve">€ 4,00</t>
  </si>
  <si>
    <t xml:space="preserve">Ganztageskarte</t>
  </si>
  <si>
    <t xml:space="preserve">https://www.hall.ag/Freizeit/Schwimmbad-Hall/Preise</t>
  </si>
  <si>
    <t xml:space="preserve">Jugend €5,70; Senioren €5,00; 2h €5,70 Erwachsene, Saisonkarte Erwachsene €140, Kinder €72.</t>
  </si>
  <si>
    <t xml:space="preserve">Hallenbad</t>
  </si>
  <si>
    <t xml:space="preserve">Hallenbad Amraser Straße</t>
  </si>
  <si>
    <t xml:space="preserve">Ganzjährig nach Öffnungszeiten</t>
  </si>
  <si>
    <t xml:space="preserve">1 Eintritt pro Kalendertag in einem IKB-Bad; max. 4 Stunden; Sauna nicht inkludiert.</t>
  </si>
  <si>
    <t xml:space="preserve">https://www.freizeitticket.at/hallenbad-amraser-strasse/</t>
  </si>
  <si>
    <t xml:space="preserve">https://www.ikb.at/baeder/hallenbad-sauna-amraser-strasse</t>
  </si>
  <si>
    <t xml:space="preserve">€ 9,50</t>
  </si>
  <si>
    <t xml:space="preserve">€ 3,80</t>
  </si>
  <si>
    <t xml:space="preserve">4-Stunden-Tarif</t>
  </si>
  <si>
    <t xml:space="preserve">IKB-Tarif zuletzt online geprüft 2026</t>
  </si>
  <si>
    <t xml:space="preserve">Jugend €5,70; Senioren/Ermäßigt €7,60; Schul-/Wertkartentarife abweichend.</t>
  </si>
  <si>
    <t xml:space="preserve">Hallenbad Höttinger Au</t>
  </si>
  <si>
    <t xml:space="preserve">1 Eintritt pro Kalendertag in einem IKB-Bad; max. 2,5 Stunden; Sauna nicht inkludiert.</t>
  </si>
  <si>
    <t xml:space="preserve">https://www.freizeitticket.at/hallenbad-hoettinger-au/</t>
  </si>
  <si>
    <t xml:space="preserve">https://www.ikb.at/baeder/hallenbad-sauna-hoettinger-au</t>
  </si>
  <si>
    <t xml:space="preserve">4-Stunden-Tarif / Freizeitticket 2,5 h</t>
  </si>
  <si>
    <t xml:space="preserve">Jugend €5,70; Senioren/Ermäßigt €7,60; mit Freizeitticket laut Bedingungen Zeitlimit beachten.</t>
  </si>
  <si>
    <t xml:space="preserve">Hallenbad Olympisches Dorf</t>
  </si>
  <si>
    <t xml:space="preserve">https://www.freizeitticket.at/hallenbad-olympisches-dorf/</t>
  </si>
  <si>
    <t xml:space="preserve">https://www.ikb.at/baeder/hallenbad-sauna-olympisches-dorf</t>
  </si>
  <si>
    <t xml:space="preserve">€ 12,80</t>
  </si>
  <si>
    <t xml:space="preserve">€ 5,10</t>
  </si>
  <si>
    <t xml:space="preserve">Jugend €7,70; Senioren/Ermäßigt €10,20.</t>
  </si>
  <si>
    <t xml:space="preserve">Badesee / Freizeitsee</t>
  </si>
  <si>
    <t xml:space="preserve">Natterer See</t>
  </si>
  <si>
    <t xml:space="preserve">Natters</t>
  </si>
  <si>
    <t xml:space="preserve">Sommer-Eintritt laut Partnerbedingungen; da in den AGB als Sonderregel genannt, genaue Zutrittszahl/Leistung vor Besuch prüfen.</t>
  </si>
  <si>
    <t xml:space="preserve">Sonderregel gemäß AGB; nicht ohne Prüfung als unbegrenzt annehmen. Saisonbetrieb.</t>
  </si>
  <si>
    <t xml:space="preserve">https://www.freizeitticket.at/natterersee/</t>
  </si>
  <si>
    <t xml:space="preserve">€ 10,00</t>
  </si>
  <si>
    <t xml:space="preserve">€ 5,00</t>
  </si>
  <si>
    <t xml:space="preserve">https://www.natterersee.com/badesee/badeeintrittspreise</t>
  </si>
  <si>
    <t xml:space="preserve">Kindertarif 4–13 Jahre; Familien-, Abend- und Saisonkarten vorhanden.</t>
  </si>
  <si>
    <t xml:space="preserve">Schwimmbad Inzing</t>
  </si>
  <si>
    <t xml:space="preserve">Inzing</t>
  </si>
  <si>
    <t xml:space="preserve">https://www.freizeitticket.at/schwimmbad-inzing/</t>
  </si>
  <si>
    <t xml:space="preserve">https://www.inzing.gv.at/Schwimmbadtarife</t>
  </si>
  <si>
    <t xml:space="preserve">Ermäßigt €4,00; ab 16 Uhr Erw. €3,50 / Kinder €1,50.</t>
  </si>
  <si>
    <t xml:space="preserve">Schwimmbad Mieders</t>
  </si>
  <si>
    <t xml:space="preserve">https://www.freizeitticket.at/schwimmbad-mieders/</t>
  </si>
  <si>
    <t xml:space="preserve">Eintritt / Saisonkarte</t>
  </si>
  <si>
    <t xml:space="preserve">Tarif 2026 nicht verifiziert</t>
  </si>
  <si>
    <t xml:space="preserve">Badeanlage</t>
  </si>
  <si>
    <t xml:space="preserve">Strandperle Seefeld</t>
  </si>
  <si>
    <t xml:space="preserve">https://www.freizeitticket.at/strandperle-seefeld/</t>
  </si>
  <si>
    <t xml:space="preserve">€ 8,40</t>
  </si>
  <si>
    <t xml:space="preserve">€ 5,20</t>
  </si>
  <si>
    <t xml:space="preserve">Tageskarte ohne Gästekarte</t>
  </si>
  <si>
    <t xml:space="preserve">https://www.restaurant-seefeld.at/sommerwelt</t>
  </si>
  <si>
    <t xml:space="preserve">Nachmittagskarten, 10er- und Saisonkarten verfügbar; Gastkarten können günstiger sein.</t>
  </si>
  <si>
    <t xml:space="preserve">Hallen- und Freibad</t>
  </si>
  <si>
    <t xml:space="preserve">Telfer Bad</t>
  </si>
  <si>
    <t xml:space="preserve">Telfs</t>
  </si>
  <si>
    <t xml:space="preserve">Eintritt laut Partnerbedingungen; AGB nennt das Telfer Bad als Sonderregel-Partner, daher Frequenz/Zeitlimit vor Besuch prüfen.</t>
  </si>
  <si>
    <t xml:space="preserve">Sonderregel gemäß AGB; Zutrittszahl und Bad-/Saunaumfang direkt mit Partnerseite abgleichen.</t>
  </si>
  <si>
    <t xml:space="preserve">https://www.freizeitticket.at/telfer-bad/</t>
  </si>
  <si>
    <t xml:space="preserve">€ 24,00</t>
  </si>
  <si>
    <t xml:space="preserve">€ 12,50</t>
  </si>
  <si>
    <t xml:space="preserve">Tageskarte Schwimmen</t>
  </si>
  <si>
    <t xml:space="preserve">https://www.telferbad.at/tarife-im-telferbad</t>
  </si>
  <si>
    <t xml:space="preserve">2h Erwachsene €9,60/Kinder €5,00; Sauna gesondert.</t>
  </si>
  <si>
    <t xml:space="preserve">Tivoli Freibad Innsbruck</t>
  </si>
  <si>
    <t xml:space="preserve">https://www.freizeitticket.at/tivoli-freibad/</t>
  </si>
  <si>
    <t xml:space="preserve">https://www.ikb.at/baeder/freibad-tivoli</t>
  </si>
  <si>
    <t xml:space="preserve">€ 6,60</t>
  </si>
  <si>
    <t xml:space="preserve">€ 2,70</t>
  </si>
  <si>
    <t xml:space="preserve">Jugend €4,00; Senioren/Ermäßigt €5,30; Halbtag, Abend und Saisonkarten erhältlich.</t>
  </si>
  <si>
    <t xml:space="preserve">Badesee Weißlan</t>
  </si>
  <si>
    <t xml:space="preserve">Terfens</t>
  </si>
  <si>
    <t xml:space="preserve">https://www.freizeitticket.at/badesee-weisslan/</t>
  </si>
  <si>
    <t xml:space="preserve">€ 2,50</t>
  </si>
  <si>
    <t xml:space="preserve">https://terfens.at/Badesee</t>
  </si>
  <si>
    <t xml:space="preserve">Jugendliche und ermäßigt €4,00; Saisonkarten Erwachsene €65, Jugend/ermäßigt €45, Kinder €30.</t>
  </si>
  <si>
    <t xml:space="preserve">Zirl Badeanlage</t>
  </si>
  <si>
    <t xml:space="preserve">Zirl</t>
  </si>
  <si>
    <t xml:space="preserve">https://www.freizeitticket.at/zirl-badeanlage/</t>
  </si>
  <si>
    <t xml:space="preserve">€ 2,00</t>
  </si>
  <si>
    <t xml:space="preserve">https://www.b4-zirl.at/Einrichtungen/Kultur_und_Sport/Schwimmbad</t>
  </si>
  <si>
    <t xml:space="preserve">Jugend €3,80; Senioren €3,80; Abendkarte Erw. €3,90, Saisonkarten verfügbar.</t>
  </si>
  <si>
    <t xml:space="preserve">Kultur / Museum / Erlebnis</t>
  </si>
  <si>
    <t xml:space="preserve">Audioversum</t>
  </si>
  <si>
    <t xml:space="preserve">Eintritt laut Partnerbedingungen inkludiert</t>
  </si>
  <si>
    <t xml:space="preserve">Sonderregel laut AGB; Freizeitticket-Zutritte gemäß Partnerhinweis (nicht pauschal unbegrenzt annehmen).</t>
  </si>
  <si>
    <t xml:space="preserve">Sonderausstellungen, Führungen und Sonderveranstaltungen können abweichen.</t>
  </si>
  <si>
    <t xml:space="preserve">https://www.freizeitticket.at/audioversum/</t>
  </si>
  <si>
    <t xml:space="preserve">https://www.audioversum.at</t>
  </si>
  <si>
    <t xml:space="preserve">€ 14,00</t>
  </si>
  <si>
    <t xml:space="preserve">€ 9,00</t>
  </si>
  <si>
    <t xml:space="preserve">Einzeleintritt</t>
  </si>
  <si>
    <t xml:space="preserve">Tarif online geprüft 2026</t>
  </si>
  <si>
    <t xml:space="preserve">https://www.audioversum.at/besucherinfo</t>
  </si>
  <si>
    <t xml:space="preserve">Kinder 7–15 €9; ab 10 Personen Erwachsene €11; bis 6 Jahre frei.</t>
  </si>
  <si>
    <t xml:space="preserve">Glockenmuseum Grassmayr</t>
  </si>
  <si>
    <t xml:space="preserve">Zutritt laut Partner-/AGB-Bedingungen; genaue Häufigkeit vor Besuch prüfen.</t>
  </si>
  <si>
    <t xml:space="preserve">https://www.freizeitticket.at/grassmayer/</t>
  </si>
  <si>
    <t xml:space="preserve">https://grassmayr.at/at/museum/preise-eintritt.php</t>
  </si>
  <si>
    <t xml:space="preserve">Museumseintritt</t>
  </si>
  <si>
    <t xml:space="preserve">Preisliste gültig 01.05.2025–30.04.2027</t>
  </si>
  <si>
    <t xml:space="preserve">Familientarif €25; Gruppen ab 15 Personen €8 pro Person; Führung extra.</t>
  </si>
  <si>
    <t xml:space="preserve">Hofkirche</t>
  </si>
  <si>
    <t xml:space="preserve">Tiroler Landesmuseen: 3 Zutritte pro Haus und Saison; Sonderregel gemäß AGB.</t>
  </si>
  <si>
    <t xml:space="preserve">https://www.freizeitticket.at/hofkirche/</t>
  </si>
  <si>
    <t xml:space="preserve">https://www.tiroler-landesmuseen.at/besuch/preise/</t>
  </si>
  <si>
    <t xml:space="preserve">€ 0,00</t>
  </si>
  <si>
    <t xml:space="preserve">Einzeleintritt Landesmuseen</t>
  </si>
  <si>
    <t xml:space="preserve">Ermäßigt €7; Kinder/Jugendliche unter 19 frei; Kombiticket €14/€11.</t>
  </si>
  <si>
    <t xml:space="preserve">Museum Goldenes Dachl</t>
  </si>
  <si>
    <t xml:space="preserve">Freier Eintritt mit Freizeitticket; genaue Wiederholungsbegrenzung auf Partner-/AGB-Seite prüfen.</t>
  </si>
  <si>
    <t xml:space="preserve">https://www.freizeitticket.at/goldenes-dachl/</t>
  </si>
  <si>
    <t xml:space="preserve">https://www.innsbruck.gv.at/freizeit/kultur/museen-stadtarchiv/museum-goldenes-dachl</t>
  </si>
  <si>
    <t xml:space="preserve">Kein separater Kindertarif ausgewiesen</t>
  </si>
  <si>
    <t xml:space="preserve">Ermäßigt €3; Familien €12,50; Familien-Kombi mit Stadtmuseum €14,50. Kindertarif in der zugänglichen Preisliste nicht separat ausgewiesen; €0 nicht unterstellen.</t>
  </si>
  <si>
    <t xml:space="preserve">Museum der Völker</t>
  </si>
  <si>
    <t xml:space="preserve">Partner-Museum; Häufigkeit und etwaige Sonderausstellungen beim Anbieter prüfen.</t>
  </si>
  <si>
    <t xml:space="preserve">https://www.freizeitticket.at/museum-der-voelker/</t>
  </si>
  <si>
    <t xml:space="preserve">https://www.museumdervoelker.com/</t>
  </si>
  <si>
    <t xml:space="preserve">Münze Hall</t>
  </si>
  <si>
    <t xml:space="preserve">Sonderregel laut AGB; Nutzung und eventuelle Begrenzung vor Besuch prüfen.</t>
  </si>
  <si>
    <t xml:space="preserve">https://www.freizeitticket.at/muenze-hall/</t>
  </si>
  <si>
    <t xml:space="preserve">https://www.muenze-hall.at/</t>
  </si>
  <si>
    <t xml:space="preserve">Einzeleintritt Münze Hall</t>
  </si>
  <si>
    <t xml:space="preserve">Zuletzt veröffentlichter Tarif, online geprüft 27.10.2026</t>
  </si>
  <si>
    <t xml:space="preserve">https://www.muenze-hall.at/de/Burg-Hasegg-Erlebniswelt/PREISE</t>
  </si>
  <si>
    <t xml:space="preserve">Münzerturm allein €6,50/€5,50; Kombiticket Museum+Turm €13,00/€9,00; Familien-Kombiticket €28,00. Freizeitticket: bis zu 3 Besuche/Jahr laut Betreiber.</t>
  </si>
  <si>
    <t xml:space="preserve">Stadtarchiv/Stadtmuseum Innsbruck</t>
  </si>
  <si>
    <t xml:space="preserve">Kultureintritt laut Partnerbedingungen; Kombitickets können abweichen.</t>
  </si>
  <si>
    <t xml:space="preserve">https://www.freizeitticket.at/stadtmuseum/</t>
  </si>
  <si>
    <t xml:space="preserve">https://www.innsbruck.gv.at/freizeit/kultur/museen-stadtarchiv</t>
  </si>
  <si>
    <t xml:space="preserve">Preis altersabhängig</t>
  </si>
  <si>
    <t xml:space="preserve">Ermäßigt €3; Freizeitticket-Eintritt laut Stadtinformation inkludiert.</t>
  </si>
  <si>
    <t xml:space="preserve">Swarovski Kristallwelten</t>
  </si>
  <si>
    <t xml:space="preserve">Sonderregel laut AGB; vor Besuch konkrete Freizeitticket-Berechtigung/Frequenz prüfen.</t>
  </si>
  <si>
    <t xml:space="preserve">https://www.freizeitticket.at/swarovski-kristallwelten/</t>
  </si>
  <si>
    <t xml:space="preserve">https://www.kristallwelten.swarovski.com/de/tickets/ticketvergleich</t>
  </si>
  <si>
    <t xml:space="preserve">€ 25,00 online / € 27,00 Kassa</t>
  </si>
  <si>
    <t xml:space="preserve">Tagesticket</t>
  </si>
  <si>
    <t xml:space="preserve">Kinder 6–17; 0–5 frei. Onlineshoppreis und Kassapreis unterscheiden sich.</t>
  </si>
  <si>
    <t xml:space="preserve">Tirol Panorama mit Kaiserjägermuseum</t>
  </si>
  <si>
    <t xml:space="preserve">Innsbruck / Bergisel</t>
  </si>
  <si>
    <t xml:space="preserve">Tiroler Landesmuseen: 3 Zutritte pro Haus und Saison.</t>
  </si>
  <si>
    <t xml:space="preserve">https://www.freizeitticket.at/tirol-panorama/</t>
  </si>
  <si>
    <t xml:space="preserve">Ermäßigt €7; Kinder/Jugendliche unter 19 frei; Kombitickets verfügbar.</t>
  </si>
  <si>
    <t xml:space="preserve">Tiroler Abend mit Familie Gundolf / Oktoberfest</t>
  </si>
  <si>
    <t xml:space="preserve">Sonderregel laut AGB; konkrete Veranstaltungstermine, Kontingent und Buchungsprozess vorab klären.</t>
  </si>
  <si>
    <t xml:space="preserve">https://www.freizeitticket.at/tiroler-abende-familie-gundolf-oktoberfest/</t>
  </si>
  <si>
    <t xml:space="preserve">https://www.familie-gundolf.at/</t>
  </si>
  <si>
    <t xml:space="preserve">Veranstaltungs-/Showticket</t>
  </si>
  <si>
    <t xml:space="preserve">Ticket hängt von Veranstaltung und Sitzplatz ab</t>
  </si>
  <si>
    <t xml:space="preserve">Freizeitticket-Partnerseite: Keinen Pauschalpreis angeben; jeweilige Veranstaltung prüfen. Regulärer Einzelpreis nicht zuverlässig gefunden; daher kein Preis geschätzt.</t>
  </si>
  <si>
    <t xml:space="preserve">Tiroler Volkskunstmuseum</t>
  </si>
  <si>
    <t xml:space="preserve">https://www.freizeitticket.at/volkskunstmuseum/</t>
  </si>
  <si>
    <t xml:space="preserve">Zeughaus</t>
  </si>
  <si>
    <t xml:space="preserve">https://www.freizeitticket.at/zeughaus/</t>
  </si>
  <si>
    <t xml:space="preserve">Eislaufen</t>
  </si>
  <si>
    <t xml:space="preserve">Eishalle Götzens</t>
  </si>
  <si>
    <t xml:space="preserve">Götzens</t>
  </si>
  <si>
    <t xml:space="preserve">Winter / abhängig von Eis- und Betriebszeiten</t>
  </si>
  <si>
    <t xml:space="preserve">Eintritt zum Eislaufplatz inkludiert</t>
  </si>
  <si>
    <t xml:space="preserve">Freier Eintritt laut offizieller Eislaufübersicht; nur zu veröffentlichten Betriebszeiten.</t>
  </si>
  <si>
    <t xml:space="preserve">Schlittschuhverleih, Kurse, Reservierungen oder Sonderveranstaltungen können extra kosten.</t>
  </si>
  <si>
    <t xml:space="preserve">https://www.freizeitticket.at/eishalle-goetzens/</t>
  </si>
  <si>
    <t xml:space="preserve">https://www.freizeitticket.at/winter/eislaufen/</t>
  </si>
  <si>
    <t xml:space="preserve">Publikumseislauf Eintritt</t>
  </si>
  <si>
    <t xml:space="preserve">Tarif online geprüft Okt. 2026</t>
  </si>
  <si>
    <t xml:space="preserve">https://www.goetzens.gv.at/Eissportzentrum/Publikumslauf/Preise</t>
  </si>
  <si>
    <t xml:space="preserve">Kinder/Jugendliche bis 16 €3; Eintritt mit Freizeitticket frei.</t>
  </si>
  <si>
    <t xml:space="preserve">Eishalle Steinach</t>
  </si>
  <si>
    <t xml:space="preserve">https://www.freizeitticket.at/eishalle-steinach/</t>
  </si>
  <si>
    <t xml:space="preserve">€ 4,60</t>
  </si>
  <si>
    <t xml:space="preserve">Saison 2025/26 – letzter veröffentlichter Tarif</t>
  </si>
  <si>
    <t xml:space="preserve">https://www.steinach.gv.at/Einrichtungen/Infrastruktur/Kunsteis-_und-Mehrzweckhalle</t>
  </si>
  <si>
    <t xml:space="preserve">Schuhverleih €3,70; Saisonkarte Erwachsene €77, Kinder €45; Freizeitticket kostenlos.</t>
  </si>
  <si>
    <t xml:space="preserve">Eislaufplatz Baggersee</t>
  </si>
  <si>
    <t xml:space="preserve">https://www.freizeitticket.at/eislaufplatz-baggersee/</t>
  </si>
  <si>
    <t xml:space="preserve">Publikumseislauf</t>
  </si>
  <si>
    <t xml:space="preserve">Freizeitticket-Partnerseite: Freizeitticket-Eintritt frei; reguläre Einzelpreise nicht belastbar gefunden. Regulärer Einzelpreis nicht zuverlässig gefunden; daher kein Preis geschätzt.</t>
  </si>
  <si>
    <t xml:space="preserve">Eislaufplatz Hötting-West</t>
  </si>
  <si>
    <t xml:space="preserve">https://www.freizeitticket.at/eislaufplatz-hoetting-west/</t>
  </si>
  <si>
    <t xml:space="preserve">Eislaufplatz Igls</t>
  </si>
  <si>
    <t xml:space="preserve">https://www.freizeitticket.at/eislaufplatz-igls/</t>
  </si>
  <si>
    <t xml:space="preserve">Olympiaworld Innsbruck</t>
  </si>
  <si>
    <t xml:space="preserve">https://www.freizeitticket.at/olympiaworld-innsbruck/</t>
  </si>
  <si>
    <t xml:space="preserve">Saison 2026/27</t>
  </si>
  <si>
    <t xml:space="preserve">https://www.olympiaworld.at/angebote/publikums-und-schuleislauf/</t>
  </si>
  <si>
    <t xml:space="preserve">10er-Block Erw. €63; Kinder/Jugendliche bis14 sowie Pensionisten/Studierende/Lehrlinge €4,50; Verleih €6,50; Freizeitticket frei.</t>
  </si>
  <si>
    <t xml:space="preserve">Eislaufplatz Schwaz</t>
  </si>
  <si>
    <t xml:space="preserve">https://www.freizeitticket.at/eislaufplatz-schwaz/</t>
  </si>
  <si>
    <t xml:space="preserve">https://www.schwaz.at/news/aktuelles/newsdetail/eislaufplatz-oeffnet/</t>
  </si>
  <si>
    <t xml:space="preserve">10er-Block Erwachsene €36,50, Kinder €18; Schuhverleih €5/4/3 je Altersgruppe; Freizeitticket frei.</t>
  </si>
  <si>
    <t xml:space="preserve">Eislaufplatz Silz</t>
  </si>
  <si>
    <t xml:space="preserve">Silz</t>
  </si>
  <si>
    <t xml:space="preserve">https://www.freizeitticket.at/eislaufplatz-silz/</t>
  </si>
  <si>
    <t xml:space="preserve">Eislaufplatz Trins</t>
  </si>
  <si>
    <t xml:space="preserve">https://www.freizeitticket.at/eislaufplatz-trins/</t>
  </si>
  <si>
    <t xml:space="preserve">Eislaufplatz Vomp</t>
  </si>
  <si>
    <t xml:space="preserve">Vomp</t>
  </si>
  <si>
    <t xml:space="preserve">https://www.freizeitticket.at/eislaufplatz-vomp/</t>
  </si>
  <si>
    <t xml:space="preserve">Eislaufplatz Wattens</t>
  </si>
  <si>
    <t xml:space="preserve">https://www.freizeitticket.at/eislaufplatz-wattens/</t>
  </si>
  <si>
    <t xml:space="preserve">Eintritt pro halbem Tag</t>
  </si>
  <si>
    <t xml:space="preserve">Wintersaison 2026/27</t>
  </si>
  <si>
    <t xml:space="preserve">https://www.wattens.com/wp-content/uploads/2026/09/Kundmachung-1.pdf</t>
  </si>
  <si>
    <t xml:space="preserve">Ermäßigt €4; 10er-Block Erwachsene €45; Saisonkarte Erwachsene €100; Freizeitticket frei.</t>
  </si>
  <si>
    <t xml:space="preserve">Eislaufplatz Zirl</t>
  </si>
  <si>
    <t xml:space="preserve">https://www.freizeitticket.at/eislaufplatz-zirl/</t>
  </si>
  <si>
    <t xml:space="preserve">Eislaufen – noch zu verifizieren</t>
  </si>
  <si>
    <t xml:space="preserve">13. Eislaufplatz laut Homepage-Zählung (Name nicht eindeutig aus der abrufbaren Detailübersicht extrahierbar)</t>
  </si>
  <si>
    <t xml:space="preserve">Tirol</t>
  </si>
  <si>
    <t xml:space="preserve">Homepage nennt 13 Eislaufplätze; 12 Einzelanlagen einzeln identifiziert.</t>
  </si>
  <si>
    <t xml:space="preserve">Eintritt grundsätzlich laut Eislaufübersicht</t>
  </si>
  <si>
    <t xml:space="preserve">Bitte aktuelle offizielle Übersicht aufrufen; keine Anlage geraten oder erfunden.</t>
  </si>
  <si>
    <t xml:space="preserve">Nicht zuordenbar</t>
  </si>
  <si>
    <t xml:space="preserve">Nicht eindeutig benannter Eintrag</t>
  </si>
  <si>
    <t xml:space="preserve">Freizeitticket-Website zählt 13 Plätze; Name nicht ausreichend geklärt</t>
  </si>
  <si>
    <t xml:space="preserve">Freizeitticket-Partnerseite: Kein Preis zuordenbar, da Partnername nicht eindeutig feststellbar. Regulärer Einzelpreis nicht zuverlässig gefunden; daher kein Preis geschätzt.</t>
  </si>
  <si>
    <t xml:space="preserve">Freizeitticket Tirol – Kaufpreise 2026/27</t>
  </si>
  <si>
    <t xml:space="preserve">Vorverkaufspreis nur bis 31.10.2026. Normalpreise gelten ab 01.11.2026. Saison gültig 01.10.2026–30.09.2027; alle Ticketpreise zzgl. € 3 Keycard-Pfand.</t>
  </si>
  <si>
    <t xml:space="preserve">Tarifart</t>
  </si>
  <si>
    <t xml:space="preserve">Geburtsjahr / Anspruch</t>
  </si>
  <si>
    <t xml:space="preserve">Vorverkauf €</t>
  </si>
  <si>
    <t xml:space="preserve">Normalpreis €</t>
  </si>
  <si>
    <t xml:space="preserve">Gültigkeit / Phase</t>
  </si>
  <si>
    <t xml:space="preserve">Bedingungen / Hinweise</t>
  </si>
  <si>
    <t xml:space="preserve">Offizielle Preisseite</t>
  </si>
  <si>
    <t xml:space="preserve">Einzelpreis</t>
  </si>
  <si>
    <t xml:space="preserve">Erwachsene</t>
  </si>
  <si>
    <t xml:space="preserve">Jg. 1962–2002</t>
  </si>
  <si>
    <t xml:space="preserve">Vorverkauf: 01.–31.10.2026; Normalpreis ab 01.11.2026</t>
  </si>
  <si>
    <t xml:space="preserve">Ticketgültigkeit 01.10.2026–30.09.2027. Alle Preise inkl. MwSt.; zzgl. € 3 Keycard-Pfand. Familienpreis nur bei gleichzeitigem Kauf und berechtigtem Elternteil; Nachweis erforderlich.</t>
  </si>
  <si>
    <t xml:space="preserve">https://www.freizeitticket.at/ticket/preise/</t>
  </si>
  <si>
    <t xml:space="preserve">Kinder</t>
  </si>
  <si>
    <t xml:space="preserve">Jg. 2011 und jünger</t>
  </si>
  <si>
    <t xml:space="preserve">Jugend</t>
  </si>
  <si>
    <t xml:space="preserve">Jg. 2008–2010</t>
  </si>
  <si>
    <t xml:space="preserve">U23</t>
  </si>
  <si>
    <t xml:space="preserve">Jg. 2003–2007</t>
  </si>
  <si>
    <t xml:space="preserve">Senioren</t>
  </si>
  <si>
    <t xml:space="preserve">ab Jg. 1961</t>
  </si>
  <si>
    <t xml:space="preserve">Menschen mit Behinderung ab 60 %</t>
  </si>
  <si>
    <t xml:space="preserve">GdB/MdE ≥ 60 %; Nachweis erforderlich</t>
  </si>
  <si>
    <t xml:space="preserve">Familienpreis</t>
  </si>
  <si>
    <t xml:space="preserve">Elternteil; muss gemeinsam mit berechtigten Kinder-/Jugend-/U23-Karten gekauft werden</t>
  </si>
  <si>
    <t xml:space="preserve">Jg. 2011 und jünger; Familiennachweis erforderlich</t>
  </si>
  <si>
    <t xml:space="preserve">Jg. 2008–2010; Familiennachweis erforderlich</t>
  </si>
  <si>
    <t xml:space="preserve">Jg. 2003–2007; Familiennachweis erforderlich</t>
  </si>
  <si>
    <t xml:space="preserve">Pfand</t>
  </si>
  <si>
    <t xml:space="preserve">Keycard / Datenträger</t>
  </si>
  <si>
    <t xml:space="preserve">Je Ticket</t>
  </si>
  <si>
    <t xml:space="preserve">Während Verkauf; Rückerstattung bei Rückgabe</t>
  </si>
  <si>
    <t xml:space="preserve">€ 3 Pfand; bei unbeschädigter Rückgabe erstattbar.</t>
  </si>
  <si>
    <t xml:space="preserve">Reguläre Einzeltarife – Vergleich zum Freizeitticket</t>
  </si>
  <si>
    <t xml:space="preserve">Erweiterte Vergleichsliste mit 312 Tarifzeilen aus mehreren veröffentlichten Preislisten. Preise nach Anlage, Ticketart, Altersgruppe und Tarifperiode; nicht verifizierte reguläre Preise werden ausdrücklich markiert, nicht geschätzt. Vorperioden- und dynamische Shoppreise sind gekennzeichnet.</t>
  </si>
  <si>
    <t xml:space="preserve">Partner / Anlage</t>
  </si>
  <si>
    <t xml:space="preserve">Ticketart / Produkt</t>
  </si>
  <si>
    <t xml:space="preserve">Tarifperiode</t>
  </si>
  <si>
    <t xml:space="preserve">Erwachsene €</t>
  </si>
  <si>
    <t xml:space="preserve">Senioren €</t>
  </si>
  <si>
    <t xml:space="preserve">Jugend €</t>
  </si>
  <si>
    <t xml:space="preserve">Kinder €</t>
  </si>
  <si>
    <t xml:space="preserve">Menschen mit Behinderung €</t>
  </si>
  <si>
    <t xml:space="preserve">Familie / Gruppe €</t>
  </si>
  <si>
    <t xml:space="preserve">Weitere Tarifdetails / Einschränkungen</t>
  </si>
  <si>
    <t xml:space="preserve">Gültigkeit / Preisstand</t>
  </si>
  <si>
    <t xml:space="preserve">Offizielle Quelle</t>
  </si>
  <si>
    <t xml:space="preserve">Preisstatus / Kontext</t>
  </si>
  <si>
    <t xml:space="preserve">Eintritt bis 4 Stunden</t>
  </si>
  <si>
    <t xml:space="preserve">Preisliste zum 27.10.2026</t>
  </si>
  <si>
    <t xml:space="preserve">IKB-Alter: Kind ab 6; Jugend ab 15; Erwachsene ab 19; Senior ab 65. Unter 6 meist gratis. FTT: maximal 1 IKB-Bad pro Tag, Sauna nicht inkludiert; Zeitüberschreitung € 1 je angefangene 30 min (sofern zutreffend). Keine Sauna im Freizeitticket enthalten.</t>
  </si>
  <si>
    <t xml:space="preserve">Tarifstand am 27.10.2026</t>
  </si>
  <si>
    <t xml:space="preserve">Tarif online gefunden; Konditionen auf der verlinkten Preisseite prüfen</t>
  </si>
  <si>
    <t xml:space="preserve">Jahreskarte</t>
  </si>
  <si>
    <t xml:space="preserve">Jahreskarte; Alterskategorien wie IKB-Preisliste.</t>
  </si>
  <si>
    <t xml:space="preserve">Schul-/Schwimmkurs-Tarif (mit Wertkarte)</t>
  </si>
  <si>
    <t xml:space="preserve">Tarif gilt nur mit Wertkarte / entsprechendem Zweck.</t>
  </si>
  <si>
    <t xml:space="preserve">IKB-Alter: Kind ab 6; Jugend ab 15; Erwachsene ab 19; Senior ab 65. Unter 6 meist gratis. FTT: maximal 1 IKB-Bad pro Tag, Sauna nicht inkludiert; Zeitüberschreitung € 1 je angefangene 30 min (sofern zutreffend). Freizeitticket gilt laut IKB nur 2,5 Stunden; allgemeiner regulärer 4h-Tarif separat.</t>
  </si>
  <si>
    <t xml:space="preserve">Sport-/Kurzzeit-Tarif bis 2,5 Stunden (mit Wertkarte)</t>
  </si>
  <si>
    <t xml:space="preserve">Sporttarif laut IKB nur mit Wertkarte; bitte Anwendungsbedingungen beachten.</t>
  </si>
  <si>
    <t xml:space="preserve">Jahreskarte; Behindertentarif hier laut Tarifblatt € 313,80.</t>
  </si>
  <si>
    <t xml:space="preserve">IKB-Alter: Kind ab 6; Jugend ab 15; Erwachsene ab 19; Senior ab 65. Unter 6 meist gratis. FTT: maximal 1 IKB-Bad pro Tag, Sauna nicht inkludiert; Zeitüberschreitung € 1 je angefangene 30 min (sofern zutreffend). Familienermäßigung 20 % (max. 2 Erwachsene).</t>
  </si>
  <si>
    <t xml:space="preserve">Abendtarif Mo–Fr ab 17:00</t>
  </si>
  <si>
    <t xml:space="preserve">Abendtarif laut Tarifseite; konkrete Feiertags-/Betriebsregeln prüfen.</t>
  </si>
  <si>
    <t xml:space="preserve">Jahreskarte.</t>
  </si>
  <si>
    <t xml:space="preserve">Tarif mit Wertkarte; Familienermäßigung ist ein separates Modell.</t>
  </si>
  <si>
    <t xml:space="preserve">Freibad</t>
  </si>
  <si>
    <t xml:space="preserve">Sommersaison 2026; Eintritt mit Freizeitticket ganztägig, jedoch nur 1 IKB-Bad pro Tag.</t>
  </si>
  <si>
    <t xml:space="preserve">Sommer 2026; Saison beendet</t>
  </si>
  <si>
    <t xml:space="preserve">Halbtageskarte ab 14:00</t>
  </si>
  <si>
    <t xml:space="preserve">Sommersaison 2026; Tarif laut IKB.</t>
  </si>
  <si>
    <t xml:space="preserve">Spättarif ab 16:00 / Frühschwimmen</t>
  </si>
  <si>
    <t xml:space="preserve">Sommersaison 2026; IKB veröffentlicht Sondertarif; Betriebszeiten prüfen.</t>
  </si>
  <si>
    <t xml:space="preserve">Saisonkarte</t>
  </si>
  <si>
    <t xml:space="preserve">Saisonkarte.</t>
  </si>
  <si>
    <t xml:space="preserve">Saisonkarte im Vorverkauf</t>
  </si>
  <si>
    <t xml:space="preserve">Begrenzter Vorverkaufszeitraum vor Saisonbeginn.</t>
  </si>
  <si>
    <t xml:space="preserve">Jahreskarte laut IKB-Übersicht.</t>
  </si>
  <si>
    <t xml:space="preserve">Sommer-Saison 2026; ab 18:00 Uhr bei unbewachter Badezeit gratis laut Tarifhinweis. FTT höchstens 1 IKB-Bad pro Tag.</t>
  </si>
  <si>
    <t xml:space="preserve">Sommer-Saison 2026; Tarif laut IKB.</t>
  </si>
  <si>
    <t xml:space="preserve">Ermäßigt € 4: Jugendliche bis 18, Studierende bis 25, Präsenz-/Zivildienst, Senioren mit Karte.</t>
  </si>
  <si>
    <t xml:space="preserve">Ermäßigt € 3 wie laut Tarifdefinition; Kinder 6–13 € 2,50.</t>
  </si>
  <si>
    <t xml:space="preserve">Abendkarte ab 17:00</t>
  </si>
  <si>
    <t xml:space="preserve">Einheitlicher Spättarif laut Tarifseite; konkrete Tarifgruppe ggf. bestätigen.</t>
  </si>
  <si>
    <t xml:space="preserve">Preise in €; Familien- und ortsgebundene Sondermodelle nicht hier modelliert.</t>
  </si>
  <si>
    <t xml:space="preserve">10er-/Punkteblock</t>
  </si>
  <si>
    <t xml:space="preserve">Für die üblichen Tarifgruppen laut Gemeinde-Seite; Anzahl Eintritte anhand Punkteblock-Bedingungen prüfen.</t>
  </si>
  <si>
    <t xml:space="preserve">Kabinenzuschlag pro Tag</t>
  </si>
  <si>
    <t xml:space="preserve">Zusatzleistung, kein Eintritt.</t>
  </si>
  <si>
    <t xml:space="preserve">Kabinen-Saison-Zuschlag</t>
  </si>
  <si>
    <t xml:space="preserve">Zusatzleistung, kein Eintritt; Schlüsselpfand € 30.</t>
  </si>
  <si>
    <t xml:space="preserve">Tiroler Landesmuseen (Hofkirche, Volkskunstmuseum, Zeughaus, Tirol Panorama)</t>
  </si>
  <si>
    <t xml:space="preserve">Museum</t>
  </si>
  <si>
    <t xml:space="preserve">Einzelticket pro Haus</t>
  </si>
  <si>
    <t xml:space="preserve">Preisstand online geprüft am 27.10.2026</t>
  </si>
  <si>
    <t xml:space="preserve">Standard € 9; ermäßigt € 7. Familienpreis/Tarife variieren nach Haus. Kinder und Jugendliche unter 19 frei. Freizeitticket: 3 Zutritte pro Haus und Saison. Ferdinandeum bis 2028 geschlossen.</t>
  </si>
  <si>
    <t xml:space="preserve">Preisstand am 27.10.2026</t>
  </si>
  <si>
    <t xml:space="preserve">Kombiticket (mehrere Häuser)</t>
  </si>
  <si>
    <t xml:space="preserve">Standard € 14; ermäßigt € 11. Zutrittsumfang abhängig vom jeweiligen Kombiticket; nicht mit Freizeitticket-Gültigkeit verwechseln.</t>
  </si>
  <si>
    <t xml:space="preserve">Tirol Panorama / Bergisel-Kombination</t>
  </si>
  <si>
    <t xml:space="preserve">Bergisel-Kombiticket</t>
  </si>
  <si>
    <t xml:space="preserve">Kombiticket € 16; Familienticket € 32. Kinder/Jugendliche unter 19 bei Landesmuseen grundsätzlich frei, Details im Tarif prüfen.</t>
  </si>
  <si>
    <t xml:space="preserve">Eintritt Erwachsene</t>
  </si>
  <si>
    <t xml:space="preserve">Tarif gültig bis 30.04.2027</t>
  </si>
  <si>
    <t xml:space="preserve">Kinder 0–5 frei; 6–14 € 6. Gruppen ab 15 Personen € 8 p. P.</t>
  </si>
  <si>
    <t xml:space="preserve">01.05.2025–30.04.2027</t>
  </si>
  <si>
    <t xml:space="preserve">Eintritt Kinder 6–14 Jahre</t>
  </si>
  <si>
    <t xml:space="preserve">Kinder unter 6 frei.</t>
  </si>
  <si>
    <t xml:space="preserve">Familienkarte</t>
  </si>
  <si>
    <t xml:space="preserve">Familienkarte laut offizieller Preisseite.</t>
  </si>
  <si>
    <t xml:space="preserve">Gruppen ab 15 Personen je Person</t>
  </si>
  <si>
    <t xml:space="preserve">Preis je Person bei mindestens 15 Personen.</t>
  </si>
  <si>
    <t xml:space="preserve">Schul-/Studententarif</t>
  </si>
  <si>
    <t xml:space="preserve">Preis laut offizieller Preisseite; mögliche Nachweise/Bedingungen beachten.</t>
  </si>
  <si>
    <t xml:space="preserve">Führung</t>
  </si>
  <si>
    <t xml:space="preserve">Führung Deutsch / Fremdsprache</t>
  </si>
  <si>
    <t xml:space="preserve">Führungsentgelt, kein Eintrittspreis; Schulführung € 60.</t>
  </si>
  <si>
    <t xml:space="preserve">Ermäßigt € 3 (Senioren/Studierende/JUFF/Ö1 laut Stadtseite); Kinder unter 6 frei; Freizeitticket-Inhaber freier Eintritt.</t>
  </si>
  <si>
    <t xml:space="preserve">Ermäßigter Eintritt</t>
  </si>
  <si>
    <t xml:space="preserve">Ermäßigungsberechtigung laut Stadtseite; Bedingungen prüfen.</t>
  </si>
  <si>
    <t xml:space="preserve">JUFF-Familienkarte € 7.</t>
  </si>
  <si>
    <t xml:space="preserve">Gruppe ab 10 Personen je Person</t>
  </si>
  <si>
    <t xml:space="preserve">Preis pro Person für Gruppen ab 10.</t>
  </si>
  <si>
    <t xml:space="preserve">Museum Goldenes Dachl + Stadtmuseum</t>
  </si>
  <si>
    <t xml:space="preserve">Kombiticket</t>
  </si>
  <si>
    <t xml:space="preserve">Golden Roof + City Museum</t>
  </si>
  <si>
    <t xml:space="preserve">Eintritt Erwachsene € 7,20; Familienkarte € 14,50.</t>
  </si>
  <si>
    <t xml:space="preserve">Museum Goldenes Dachl + Stadtturm</t>
  </si>
  <si>
    <t xml:space="preserve">Golden Roof + City Museum + Stadtturm</t>
  </si>
  <si>
    <t xml:space="preserve">Eintritt Erwachsene € 10,50; Familienkarte € 21,00.</t>
  </si>
  <si>
    <t xml:space="preserve">Erlebnis/Museum</t>
  </si>
  <si>
    <t xml:space="preserve">Tagesticket Erwachsene online</t>
  </si>
  <si>
    <t xml:space="preserve">Tarif laut Ticketvergleich am 27.10.2026</t>
  </si>
  <si>
    <t xml:space="preserve">Vor-Ort Erw. € 27; ermäßigt/Behinderung online € 21 bzw. vor Ort € 23; Kinder 6–17 € 9; 0–5 frei. Sonderregel Freizeitticket beachten.</t>
  </si>
  <si>
    <t xml:space="preserve">Tagesticket Erwachsene vor Ort</t>
  </si>
  <si>
    <t xml:space="preserve">Ermäßigtes Ticket online € 21 / vor Ort € 23; Kinder 6–17 € 9; 0–5 frei.</t>
  </si>
  <si>
    <t xml:space="preserve">Kinderticket 6–17 Jahre</t>
  </si>
  <si>
    <t xml:space="preserve">Kinder 0–5 Jahre kostenlos; Sonderregel Freizeitticket beachten.</t>
  </si>
  <si>
    <t xml:space="preserve">Gruppenticket ab 10 Personen Erwachsene online</t>
  </si>
  <si>
    <t xml:space="preserve">Vor Ort laut Ticketvergleich € 25; Kinderpreise separat.</t>
  </si>
  <si>
    <t xml:space="preserve">Ski-Pass</t>
  </si>
  <si>
    <t xml:space="preserve">Halbtageskarte ab 12:00</t>
  </si>
  <si>
    <t xml:space="preserve">Hauptsaison 19.12.2026–02.04.2027</t>
  </si>
  <si>
    <t xml:space="preserve">Preisfelder: Erwachsene; Jugend/Senioren (gemeinsamer Tarif); Kinder. Freizeitticket: nur 3 Zutritte, nicht mit unbegrenztem Ski-Pass gleichzusetzen.</t>
  </si>
  <si>
    <t xml:space="preserve">1 Tag</t>
  </si>
  <si>
    <t xml:space="preserve">2 Tage</t>
  </si>
  <si>
    <t xml:space="preserve">3 Tage</t>
  </si>
  <si>
    <t xml:space="preserve">5 Tage</t>
  </si>
  <si>
    <t xml:space="preserve">Offizielle Ski-Arlberg-Preistabelle: Hauptsaison. Quelle fasst Jugend/Senioren in einer Tarifgruppe zusammen.</t>
  </si>
  <si>
    <t xml:space="preserve">https://www.skiarlberg.at/en/tickets-season-times/prices-tickets-winter</t>
  </si>
  <si>
    <t xml:space="preserve">Offizielle Preisliste 2026/27; Peak season</t>
  </si>
  <si>
    <t xml:space="preserve">6 Tage</t>
  </si>
  <si>
    <t xml:space="preserve">7 Tage</t>
  </si>
  <si>
    <t xml:space="preserve">8 Tage</t>
  </si>
  <si>
    <t xml:space="preserve">9 Tage</t>
  </si>
  <si>
    <t xml:space="preserve">10 Tage</t>
  </si>
  <si>
    <t xml:space="preserve">Senior-Aktiv 1 Tag</t>
  </si>
  <si>
    <t xml:space="preserve">Sondertarif Senior-Aktiv laut offizieller Preisseite; Anspruchskriterien beim Anbieter prüfen.</t>
  </si>
  <si>
    <t xml:space="preserve">Schneemann-Tageskarte</t>
  </si>
  <si>
    <t xml:space="preserve">Sonderprodukt laut offizieller Preisseite; gültige Bedingungen prüfen.</t>
  </si>
  <si>
    <t xml:space="preserve">Silvretta Arena Ischgl/Samnaun</t>
  </si>
  <si>
    <t xml:space="preserve">Silvretta-Skipass 1 Tag</t>
  </si>
  <si>
    <t xml:space="preserve">Saison 26.11.2026–02.05.2027</t>
  </si>
  <si>
    <t xml:space="preserve">Tarif gilt für Skigebiets-Skipass Ischgl/Samnaun; Freizeitticket dagegen max. 3 Zutritte und nur erster Einstieg Ischgl, nicht Samnaun. Preise können ohne Gästekarte gelten.</t>
  </si>
  <si>
    <t xml:space="preserve">26.11.2026–02.05.2027</t>
  </si>
  <si>
    <t xml:space="preserve">Silvretta-Skipass 2 Tage</t>
  </si>
  <si>
    <t xml:space="preserve">Silvretta-Skipass 3 Tage</t>
  </si>
  <si>
    <t xml:space="preserve">Silvretta-Skipass 4 Tage</t>
  </si>
  <si>
    <t xml:space="preserve">Silvretta-Skipass 5 Tage</t>
  </si>
  <si>
    <t xml:space="preserve">Silvretta-Skipass 6 Tage</t>
  </si>
  <si>
    <t xml:space="preserve">Silvretta-Skipass 7 Tage</t>
  </si>
  <si>
    <t xml:space="preserve">Silvretta-Skipass 8 Tage</t>
  </si>
  <si>
    <t xml:space="preserve">Silvretta-Skipass 9 Tage</t>
  </si>
  <si>
    <t xml:space="preserve">Silvretta-Skipass 10 Tage</t>
  </si>
  <si>
    <t xml:space="preserve">Silvretta-Skipass 11 Tage</t>
  </si>
  <si>
    <t xml:space="preserve">Silvretta-Skipass 12 Tage</t>
  </si>
  <si>
    <t xml:space="preserve">Silvretta-Skipass 13 Tage</t>
  </si>
  <si>
    <t xml:space="preserve">Silvretta-Skipass 14 Tage</t>
  </si>
  <si>
    <t xml:space="preserve">Silvretta-Skipass 5 in 7 Tagen</t>
  </si>
  <si>
    <t xml:space="preserve">Silvretta-Skipass 10 in 14 Tagen</t>
  </si>
  <si>
    <t xml:space="preserve">Bergbahnen Rosshütte Seefeld</t>
  </si>
  <si>
    <t xml:space="preserve">Sommer-Bergbahn</t>
  </si>
  <si>
    <t xml:space="preserve">Standseilbahn Bergfahrt</t>
  </si>
  <si>
    <t xml:space="preserve">Tarife: Erwachsene ab 19; Jugendliche 16–18; Kinder 6–15. Preisreferenz Sommer 2026; nicht ungeprüft für Sommer 2027 übernehmen.</t>
  </si>
  <si>
    <t xml:space="preserve">Sommer 2026; Saisonpreis</t>
  </si>
  <si>
    <t xml:space="preserve">Standseilbahn Berg- und Talfahrt</t>
  </si>
  <si>
    <t xml:space="preserve">Standseilbahn + Gipfelbahn Bergfahrt</t>
  </si>
  <si>
    <t xml:space="preserve">Standseilbahn + Gipfelbahn Berg- und Talfahrt</t>
  </si>
  <si>
    <t xml:space="preserve">Wanderticket 3 Sektionen Retour</t>
  </si>
  <si>
    <t xml:space="preserve">Topkarte Retour</t>
  </si>
  <si>
    <t xml:space="preserve">Erlebnis-Paket klein</t>
  </si>
  <si>
    <t xml:space="preserve">Erlebnis-Paket groß</t>
  </si>
  <si>
    <t xml:space="preserve">Tageskarte (Beispielpreis)</t>
  </si>
  <si>
    <t xml:space="preserve">Beispieldatum 15.10.2026</t>
  </si>
  <si>
    <t xml:space="preserve">Dynamischer/terminabhängiger Onlinepreis für den 15.10.2026; nicht als fixer Saisonpreis verwenden. Vor Kauf den gewünschten Tag im Shop wählen.</t>
  </si>
  <si>
    <t xml:space="preserve">15.10.2026 Beispiel; dynamisch</t>
  </si>
  <si>
    <t xml:space="preserve">Dynamischer Preis nur für das genannte Beispieldatum; zukünftige Preise im Webshop neu prüfen</t>
  </si>
  <si>
    <t xml:space="preserve">1-Tageskarte Kühtai – Nebensaison</t>
  </si>
  <si>
    <t xml:space="preserve">27.11.–18.12.2026; 03.04.–11.04.2027</t>
  </si>
  <si>
    <t xml:space="preserve">Personenkategorien laut Anbieter: Erwachsene 1953–2006, Jugend 2007–2011, Kinder 2012–2018.</t>
  </si>
  <si>
    <t xml:space="preserve">Online-Tarif erfasst</t>
  </si>
  <si>
    <t xml:space="preserve">1-Tageskarte Kühtai – Topsaison</t>
  </si>
  <si>
    <t xml:space="preserve">19.12.2026–06.01.2027; 30.01.–26.02.2027</t>
  </si>
  <si>
    <t xml:space="preserve">Saisonabhängiger Kassenpreis; Online-Vorausbuchung kann abweichen.</t>
  </si>
  <si>
    <t xml:space="preserve">Kühtai–Hochoetz</t>
  </si>
  <si>
    <t xml:space="preserve">2-Tageskarte Kombi</t>
  </si>
  <si>
    <t xml:space="preserve">Nebensaison 2026/27</t>
  </si>
  <si>
    <t xml:space="preserve">Gültig im Verbund Kühtai–Hochoetz, Preis laut Nebensaison-Tabelle.</t>
  </si>
  <si>
    <t xml:space="preserve">3-Tageskarte Kombi</t>
  </si>
  <si>
    <t xml:space="preserve">4-Tageskarte Kombi</t>
  </si>
  <si>
    <t xml:space="preserve">5-Tageskarte Kombi</t>
  </si>
  <si>
    <t xml:space="preserve">6-Tageskarte Kombi</t>
  </si>
  <si>
    <t xml:space="preserve">7-Tageskarte Kombi</t>
  </si>
  <si>
    <t xml:space="preserve">8-Tageskarte Kombi</t>
  </si>
  <si>
    <t xml:space="preserve">Offizielle Ski-Arlberg-Preistabelle. Tarifgruppe Jugend/Senioren gemeinsam ausgewiesen.</t>
  </si>
  <si>
    <t xml:space="preserve">4 Tage</t>
  </si>
  <si>
    <t xml:space="preserve">1 Tag Silvretta-Skipass</t>
  </si>
  <si>
    <t xml:space="preserve">Preis laut Silvretta-Tarif ohne Gästekarte. Freizeitticket: 3 Zutritte, Einstieg Ischgl; kein Einstieg Samnaun.</t>
  </si>
  <si>
    <t xml:space="preserve">2 Tage Silvretta-Skipass</t>
  </si>
  <si>
    <t xml:space="preserve">3 Tage Silvretta-Skipass</t>
  </si>
  <si>
    <t xml:space="preserve">4 Tage Silvretta-Skipass</t>
  </si>
  <si>
    <t xml:space="preserve">5 Tage Silvretta-Skipass</t>
  </si>
  <si>
    <t xml:space="preserve">6 Tage Silvretta-Skipass</t>
  </si>
  <si>
    <t xml:space="preserve">7 Tage Silvretta-Skipass</t>
  </si>
  <si>
    <t xml:space="preserve">8 Tage Silvretta-Skipass</t>
  </si>
  <si>
    <t xml:space="preserve">9 Tage Silvretta-Skipass</t>
  </si>
  <si>
    <t xml:space="preserve">10 Tage Silvretta-Skipass</t>
  </si>
  <si>
    <t xml:space="preserve">11 Tage Silvretta-Skipass</t>
  </si>
  <si>
    <t xml:space="preserve">12 Tage Silvretta-Skipass</t>
  </si>
  <si>
    <t xml:space="preserve">13 Tage Silvretta-Skipass</t>
  </si>
  <si>
    <t xml:space="preserve">14 Tage Silvretta-Skipass</t>
  </si>
  <si>
    <t xml:space="preserve">Wahlabo 5 in 7 Tagen</t>
  </si>
  <si>
    <t xml:space="preserve">Wahlabo 10 in 14 Tagen</t>
  </si>
  <si>
    <t xml:space="preserve">Silvapark Galtür</t>
  </si>
  <si>
    <t xml:space="preserve">Winter 2026/27; Tagespreise saisonabhängig</t>
  </si>
  <si>
    <t xml:space="preserve">Kinder/Jugend 8–18 laut Galtür-Tarif; Senioren 65+; Kinder unter 8 in Begleitung frei.</t>
  </si>
  <si>
    <t xml:space="preserve">Staffelkarte ab 11:30</t>
  </si>
  <si>
    <t xml:space="preserve">Staffelkarte ab 12:30</t>
  </si>
  <si>
    <t xml:space="preserve">Staffelkarte ab 13:30</t>
  </si>
  <si>
    <t xml:space="preserve">Bergbahn/Ski</t>
  </si>
  <si>
    <t xml:space="preserve">Kinder/Jugend laut Anbieter Jahrgänge 2008–2020; Kinder ab Jahrgang 2021 fahren frei. Nachtrodeln gesonderter Tarif.</t>
  </si>
  <si>
    <t xml:space="preserve">4-Stunden-Karte</t>
  </si>
  <si>
    <t xml:space="preserve">2-Stunden-Karte</t>
  </si>
  <si>
    <t xml:space="preserve">6 Tage / 6+1 Gratis</t>
  </si>
  <si>
    <t xml:space="preserve">Winter-Saisonkarte</t>
  </si>
  <si>
    <t xml:space="preserve">Ganzjahreskarte Köpfl-Card</t>
  </si>
  <si>
    <t xml:space="preserve">Gipfelwandern/Langlauf Retour</t>
  </si>
  <si>
    <t xml:space="preserve">Tourengeher/Eislaufen Ticket</t>
  </si>
  <si>
    <t xml:space="preserve">Nachtrodeln/Eislaufen Abendkarte</t>
  </si>
  <si>
    <t xml:space="preserve">Vorsaison 19.11.–04.12.2026</t>
  </si>
  <si>
    <t xml:space="preserve">3-Tages- und längere Skipässe gelten laut Anbieter im gesamten Ötztal; 1- und 2-Tageskarten nur Gurgl.</t>
  </si>
  <si>
    <t xml:space="preserve">Hauptsaison</t>
  </si>
  <si>
    <t xml:space="preserve">Topsaison 19.12.2026–06.01.2027; 30.01.–26.02.2027</t>
  </si>
  <si>
    <t xml:space="preserve">Topsaison 2026/27</t>
  </si>
  <si>
    <t xml:space="preserve">Topsaisonpreis; ab 3 Tagen im gesamten Ötztal gültig.</t>
  </si>
  <si>
    <t xml:space="preserve">Nachskilauf nicht in den Mehrtagestickets inkludiert.</t>
  </si>
  <si>
    <t xml:space="preserve">Vormittag bis 13:00</t>
  </si>
  <si>
    <t xml:space="preserve">ab 12:00</t>
  </si>
  <si>
    <t xml:space="preserve">ab 13:00</t>
  </si>
  <si>
    <t xml:space="preserve">2 Stunden</t>
  </si>
  <si>
    <t xml:space="preserve">Kappl–See</t>
  </si>
  <si>
    <t xml:space="preserve">1 Tag Kappl &amp; See</t>
  </si>
  <si>
    <t xml:space="preserve">Hauptsaison 2026/27</t>
  </si>
  <si>
    <t xml:space="preserve">Sekundärquelle Schneehoehen; vor dem Kauf offiziellen Online-Shop prüfen. Silvretta-Skipass ist eine separate Alternative.</t>
  </si>
  <si>
    <t xml:space="preserve">Preis aus Sekundärquelle; offiziell nachprüfen</t>
  </si>
  <si>
    <t xml:space="preserve">2 Tage Kappl &amp; See</t>
  </si>
  <si>
    <t xml:space="preserve">3 Tage Kappl &amp; See</t>
  </si>
  <si>
    <t xml:space="preserve">4 Tage Kappl &amp; See</t>
  </si>
  <si>
    <t xml:space="preserve">5 Tage Kappl &amp; See</t>
  </si>
  <si>
    <t xml:space="preserve">6 Tage Kappl &amp; See</t>
  </si>
  <si>
    <t xml:space="preserve">7 Tage Kappl &amp; See</t>
  </si>
  <si>
    <t xml:space="preserve">Letzter gefundener Tarif: Hauptsaison 2025/26 bzw. Sommer 2026</t>
  </si>
  <si>
    <t xml:space="preserve">Kein bestätigter Tarif 2026/27 gefunden; Vorjahrespreis dient nur als Anhaltspunkt, vor dem Besuch neu prüfen.</t>
  </si>
  <si>
    <t xml:space="preserve">https://www.bergfex.at/axamer-lizum/preise/</t>
  </si>
  <si>
    <t xml:space="preserve">Vorjahrespreis – nicht als aktueller 2026/27-Preis verwenden</t>
  </si>
  <si>
    <t xml:space="preserve">1 Tag ab 13:00</t>
  </si>
  <si>
    <t xml:space="preserve">Berg- und Talfahrt</t>
  </si>
  <si>
    <t xml:space="preserve">Einzelfahrt</t>
  </si>
  <si>
    <t xml:space="preserve">4-Stunden-Karte (Biken/Sommer)</t>
  </si>
  <si>
    <t xml:space="preserve">Kellerjochbahn</t>
  </si>
  <si>
    <t xml:space="preserve">3 Stunden</t>
  </si>
  <si>
    <t xml:space="preserve">4 Stunden</t>
  </si>
  <si>
    <t xml:space="preserve">1 Tag ab 11:00</t>
  </si>
  <si>
    <t xml:space="preserve">Top of Innsbruck Hin- und Retourfahrt</t>
  </si>
  <si>
    <t xml:space="preserve">Tarif laut Nordkette-Preisseite am 27.10.2026</t>
  </si>
  <si>
    <t xml:space="preserve">Das sind Bergbahn-/Sightseeing-Tarife, kein Ski-Tagespass. Fahrräder/Biketransport separat.</t>
  </si>
  <si>
    <t xml:space="preserve">Hafelekar Einzelfahrt ab Innsbruck</t>
  </si>
  <si>
    <t xml:space="preserve">Seegrube Hin- und Retourfahrt</t>
  </si>
  <si>
    <t xml:space="preserve">Seegrube Einzelfahrt</t>
  </si>
  <si>
    <t xml:space="preserve">Hungerburgbahn Hin- und Retourfahrt</t>
  </si>
  <si>
    <t xml:space="preserve">Saisonkarte Sommer</t>
  </si>
  <si>
    <t xml:space="preserve">Schwimmbad</t>
  </si>
  <si>
    <t xml:space="preserve">Es gibt niedrigere Tarife für Inhaber der Bürgerkarte (Erwachsene Tageskarte 7,50 €, Kinder 4,00 €). Freizeitticket-Eintritt frei; eine Tageskarte ist einmalig gültig.</t>
  </si>
  <si>
    <t xml:space="preserve">Erwachsene ab 15:00</t>
  </si>
  <si>
    <t xml:space="preserve">2-Stundenkarte</t>
  </si>
  <si>
    <t xml:space="preserve">6er-Block Erwachsene/Kinder</t>
  </si>
  <si>
    <t xml:space="preserve">Monatskarte ohne Bürgerkarte</t>
  </si>
  <si>
    <t xml:space="preserve">Saisonkarte ohne Bürgerkarte</t>
  </si>
  <si>
    <t xml:space="preserve">Kinder unter 6 Jahren frei; ab 18:00 Uhr freier Eintritt, dann kein beaufsichtigter Badebetrieb.</t>
  </si>
  <si>
    <t xml:space="preserve">Saisonkarte Vorverkauf</t>
  </si>
  <si>
    <t xml:space="preserve">Saison 2026</t>
  </si>
  <si>
    <t xml:space="preserve">Kinder unter 6 in Begleitung frei; Familienpass-Tarife und weitere Gebühren siehe Originalpreisliste.</t>
  </si>
  <si>
    <t xml:space="preserve">Abendtarif ab 17:30</t>
  </si>
  <si>
    <t xml:space="preserve">10er-Block Erwachsene</t>
  </si>
  <si>
    <t xml:space="preserve">Saisonkarte Erwachsene</t>
  </si>
  <si>
    <t xml:space="preserve">Kinderpreis gilt für 5–14 Jahre; Saison beendet, Preise als Saison-2026-Vergleich.</t>
  </si>
  <si>
    <t xml:space="preserve">Halbtageskarte ab 13:00</t>
  </si>
  <si>
    <t xml:space="preserve">Halbtageskarte ab 16:00</t>
  </si>
  <si>
    <t xml:space="preserve">10er-Block</t>
  </si>
  <si>
    <t xml:space="preserve">Saison 29.05.–06.09.2026 laut Gemeinde; Preise Saison 2026.</t>
  </si>
  <si>
    <t xml:space="preserve">Ermäßigter Eintritt ab 16:00</t>
  </si>
  <si>
    <t xml:space="preserve">Tarif laut Gemeinde; Saison 2026</t>
  </si>
  <si>
    <t xml:space="preserve">Ermäßigt u.a. Jugendliche bis 18, Studierende bis 25, Präsenz-/Zivildiener und Senioren mit Ausweis. Spätkarten-Tarif ohne Altersgliederung.</t>
  </si>
  <si>
    <t xml:space="preserve">Spätkarte ab 17:00</t>
  </si>
  <si>
    <t xml:space="preserve">Ermäßigt u.a. Schüler/Lehrlinge bis 19, Studierende bis 26, Grundwehrdiener, Invaliden und Senioren mit Ausweis.</t>
  </si>
  <si>
    <t xml:space="preserve">Ermäßigte Tageskarte ab 16:00</t>
  </si>
  <si>
    <t xml:space="preserve">Badesee Weißlahn</t>
  </si>
  <si>
    <t xml:space="preserve">Gebühren 2026</t>
  </si>
  <si>
    <t xml:space="preserve">Tageskarte Jugendliche 16–19 €4; Senioren/Studierende/Menschen mit Behinderung €4. Kinder unter 6 frei.</t>
  </si>
  <si>
    <t xml:space="preserve">Abendkarte 15:00–18:00</t>
  </si>
  <si>
    <t xml:space="preserve">Leihgebühren für Boote/Kajaks und Wasserpark nicht in den Eintrittspreisen enthalten.</t>
  </si>
  <si>
    <t xml:space="preserve">Ticket ab 15:30</t>
  </si>
  <si>
    <t xml:space="preserve">Ticket ab 17:30</t>
  </si>
  <si>
    <t xml:space="preserve">Dutzendkarte 10+2</t>
  </si>
  <si>
    <t xml:space="preserve">Tageseintritt Gäste ohne Gästekarte</t>
  </si>
  <si>
    <t xml:space="preserve">Sommer 2026 / Website-Tarif</t>
  </si>
  <si>
    <t xml:space="preserve">Kinder bis 4 Jahre frei. Einheimische Gäste mit Gästekarte haben anderen Tarif; Verleih separat.</t>
  </si>
  <si>
    <t xml:space="preserve">Eintritt ab 16:00</t>
  </si>
  <si>
    <t xml:space="preserve">Familienkarte 2 Erwachsene + 2 Kinder</t>
  </si>
  <si>
    <t xml:space="preserve">Schwimmen 2 Stunden</t>
  </si>
  <si>
    <t xml:space="preserve">Nicht Sauna/Solarium; diese Leistungen haben eigene Tarife. Freizeitticket-Sonderregel separat prüfen.</t>
  </si>
  <si>
    <t xml:space="preserve">Schwimmen 4 Stunden</t>
  </si>
  <si>
    <t xml:space="preserve">Tageseintritt Schwimmen</t>
  </si>
  <si>
    <t xml:space="preserve">Aufzahlung je weitere Stunde</t>
  </si>
  <si>
    <t xml:space="preserve">Museum/Erlebnis</t>
  </si>
  <si>
    <t xml:space="preserve">Gesamtticket</t>
  </si>
  <si>
    <t xml:space="preserve">Tarif laut Besucherinfo am 27.10.2026</t>
  </si>
  <si>
    <t xml:space="preserve">Kinder bis 6 Jahre frei; 7–15 Jahre €9. Freizeitticket laut Anbieter: 3 Gratis-Eintritte pro Saison.</t>
  </si>
  <si>
    <t xml:space="preserve">Erwachsenengruppe ab 10 Personen</t>
  </si>
  <si>
    <t xml:space="preserve">Schul-/Sozialverein pro Person</t>
  </si>
  <si>
    <t xml:space="preserve">Preis gültig 01.05.2025–30.04.2027</t>
  </si>
  <si>
    <t xml:space="preserve">Kinder bis 6 Jahre gratis; Führungen separat und nur nach Anmeldung.</t>
  </si>
  <si>
    <t xml:space="preserve">Eintritt Kinder 6–14</t>
  </si>
  <si>
    <t xml:space="preserve">Gruppenpreis ab 15 Personen pro Person</t>
  </si>
  <si>
    <t xml:space="preserve">Tiroler Landesmuseen / Tirol Panorama / Hofkirche / Volkskunstmuseum / Zeughaus</t>
  </si>
  <si>
    <t xml:space="preserve">Museum/Kultur</t>
  </si>
  <si>
    <t xml:space="preserve">Tarife aktuell geprüft am 27.10.2026</t>
  </si>
  <si>
    <t xml:space="preserve">Kinder/Jugendliche unter 19 Jahre frei; Kombiticket ab Kaufdatum ein Jahr gültig mit je einem Eintritt pro teilnehmendem Haus. Freizeitticket-AGB limitieren Zutritte je Haus/Saison.</t>
  </si>
  <si>
    <t xml:space="preserve">Bergisel Kombiticket Family</t>
  </si>
  <si>
    <t xml:space="preserve">Museum Goldenes Dachl / Stadtmuseum</t>
  </si>
  <si>
    <t xml:space="preserve">Standardeintritt</t>
  </si>
  <si>
    <t xml:space="preserve">Tarife ab 01.01.2026</t>
  </si>
  <si>
    <t xml:space="preserve">Freizeitticket laut Stadt Innsbruck berechtigt zum kostenlosen Eintritt in das Goldene Dachl und Stadtmuseum. Tarif gilt für Standardbesucher ohne Freizeitticket.</t>
  </si>
  <si>
    <t xml:space="preserve">Golden Roof + Stadtmuseum</t>
  </si>
  <si>
    <t xml:space="preserve">Golden Roof + Stadtmuseum + Stadtturm</t>
  </si>
  <si>
    <t xml:space="preserve">Tagesticket online Erwachsene</t>
  </si>
  <si>
    <t xml:space="preserve">Kinder 0–5 Jahre frei. Online-Tagesticket hat festes Zeitfenster; Shuttle separat (Erwachsene €38 inkl. Eintritt/Transfer laut Besucherinfo). Freizeitticket-Sonderregel gesondert prüfen.</t>
  </si>
  <si>
    <t xml:space="preserve">Tagesticket vor Ort Erwachsene</t>
  </si>
  <si>
    <t xml:space="preserve">Tagesticket online Erwachsene mit Behindertenpass</t>
  </si>
  <si>
    <t xml:space="preserve">Tagesticket vor Ort Erwachsene mit Behindertenpass</t>
  </si>
  <si>
    <t xml:space="preserve">Tagesticket Kinder 6–17</t>
  </si>
  <si>
    <t xml:space="preserve">Gruppenticket Erwachsene online ab 10</t>
  </si>
  <si>
    <t xml:space="preserve">Gruppenticket Erwachsene vor Ort ab 10</t>
  </si>
  <si>
    <t xml:space="preserve">Ermäßigter Eintritt €3; Freizeitticketinhaber erhalten kostenlosen Eintritt. Familien- und Kombitarife in der Detailquelle.</t>
  </si>
  <si>
    <t xml:space="preserve">Einzelkarte</t>
  </si>
  <si>
    <t xml:space="preserve">Tarife ohne Bürgerkarte; mit Bürgerkarte günstiger (Erwachsene Einzelkarte €4, 10er €35, Saisonkarte €85). Eine Einzelkarte gilt als Halbtageskarte.</t>
  </si>
  <si>
    <t xml:space="preserve">Erwachsene ab 19, Jugendliche 16–18, Kinder 6–15; Keycard-Pfand €4. Preisstand Sommer 2026.</t>
  </si>
  <si>
    <t xml:space="preserve">Standseilbahn Berg-/Talfahrt</t>
  </si>
  <si>
    <t xml:space="preserve">Standseilbahn + Gipfelbahn Berg-/Talfahrt</t>
  </si>
  <si>
    <t xml:space="preserve">Bergwanderticket 3 Teilstrecken Retour</t>
  </si>
  <si>
    <t xml:space="preserve">Erlebnispaket klein</t>
  </si>
  <si>
    <t xml:space="preserve">Erlebnispaket groß</t>
  </si>
  <si>
    <t xml:space="preserve">Ganztageskarte Erwachsene</t>
  </si>
  <si>
    <t xml:space="preserve">Jugend €5,70; Senioren €5,00; 2-Stunden-Karte Erw. €5,70; Abendkarte ab 16 Uhr Erw. €5,00.</t>
  </si>
  <si>
    <t xml:space="preserve">Offizielle Preisliste Saison 2026</t>
  </si>
  <si>
    <t xml:space="preserve">2-Stunden-Ticket Erwachsene</t>
  </si>
  <si>
    <t xml:space="preserve">Nur für Erwachsene angegeben; Pfand laut Anbieter möglich.</t>
  </si>
  <si>
    <t xml:space="preserve">Abendkarte ab 16:00</t>
  </si>
  <si>
    <t xml:space="preserve">Erwachsene €5,00; Jugend €4,00; Kinder €3,20.</t>
  </si>
  <si>
    <t xml:space="preserve">Erwachsene €140; Jugendliche €105; Kinder €72; Saisonkarte inkl. Parkticket.</t>
  </si>
  <si>
    <t xml:space="preserve">Jugend 17–18 €3,80; Senioren €3,80; Kinder 7–16 €2,00.</t>
  </si>
  <si>
    <t xml:space="preserve">Erwachsene €3,90; Jugend €3,80; Kinder €2,00.</t>
  </si>
  <si>
    <t xml:space="preserve">Jeweils zzgl. €10 Kaution.</t>
  </si>
  <si>
    <t xml:space="preserve">Publikumslauf 2026/27</t>
  </si>
  <si>
    <t xml:space="preserve">Erwachsene €5, Kinder/Jugendliche bis 16 Jahre €3; Eintritt mit Freizeitticket frei.</t>
  </si>
  <si>
    <t xml:space="preserve">Offizielle Preisliste online</t>
  </si>
  <si>
    <t xml:space="preserve">Einzeleintritt Publikumslauf</t>
  </si>
  <si>
    <t xml:space="preserve">10er-Block Erw. €63, ermäßigt €4,50/10er €34; Familienkarte 2 Erwachsene+2 Kinder €16; Verleih €6,50.</t>
  </si>
  <si>
    <t xml:space="preserve">Offizielle Preisliste Saison 2026/27; Freizeitticket freier Eintritt</t>
  </si>
  <si>
    <t xml:space="preserve">Letzter veröffentlichter Tarif Saison 2025/26</t>
  </si>
  <si>
    <t xml:space="preserve">10er-Block Erw. €36,50; Jugend €25; Kinder €18; Schlittschuhverleih Erw. €5/Jugend €4/Kinder €3. Freizeitticket frei.</t>
  </si>
  <si>
    <t xml:space="preserve">Offizielle Preisliste letzte veröffentlichte Saison</t>
  </si>
  <si>
    <t xml:space="preserve">Schuhverleih €3,70; Saisonkarte Erwachsene €77, Kinder €45. Freizeitticket frei.</t>
  </si>
  <si>
    <t xml:space="preserve">Offizielle Preisliste Saison 2025/26</t>
  </si>
  <si>
    <t xml:space="preserve">Birkenlift &amp; Geigenbühel</t>
  </si>
  <si>
    <t xml:space="preserve">Kinder 6–15; Erwachsene ab 16. Auch Vormittags-, Nachmittags- und Punktekarten.</t>
  </si>
  <si>
    <t xml:space="preserve">Offizielle Preisliste 2026/27</t>
  </si>
  <si>
    <t xml:space="preserve">Tageskarte 09:00–13:00</t>
  </si>
  <si>
    <t xml:space="preserve">Erwachsene ab 16; Kinder 6–15.</t>
  </si>
  <si>
    <t xml:space="preserve">Tageskarte ab 11:00</t>
  </si>
  <si>
    <t xml:space="preserve">Tageskarte ab 13:00</t>
  </si>
  <si>
    <t xml:space="preserve">Tageskarte ab 14:00</t>
  </si>
  <si>
    <t xml:space="preserve">Auch 2 h €31/€17; 3 h €33/€18; Saisonkarte Erwachsene €336,50/Kinder €170. Freizeitticket gültig.</t>
  </si>
  <si>
    <t xml:space="preserve">Letzter auffindbarer Einzelpreis; 2026/27 nicht bestätigt</t>
  </si>
  <si>
    <t xml:space="preserve">Letzte auffindbare Übersicht (Saison nicht sicher)</t>
  </si>
  <si>
    <t xml:space="preserve">Keine aktuelle 2026/27-Preisliste bestätigt; nur als Anhaltspunkt, nicht als garantierter Tarif.</t>
  </si>
  <si>
    <t xml:space="preserve">https://www.stubai.at/skigebiete/elferbahnen/</t>
  </si>
  <si>
    <t xml:space="preserve">Preis in Übersicht, Saisonstatus unsicher</t>
  </si>
  <si>
    <t xml:space="preserve">Bergbahn / Sightseeing</t>
  </si>
  <si>
    <t xml:space="preserve">Berg- oder Talfahrt einzeln: Erwachsene €22,30; Jugendliche €19,00; Senioren/U23 €21,20; Kinder €12,20.</t>
  </si>
  <si>
    <t xml:space="preserve">Offizielle Preise Sommer 2026</t>
  </si>
  <si>
    <t xml:space="preserve">Kofel Ticket einfache Fahrt</t>
  </si>
  <si>
    <t xml:space="preserve">Eine Bergfahrt ODER Talfahrt. Alterskategorien laut Betreiberseite.</t>
  </si>
  <si>
    <t xml:space="preserve">Bergbahn / Saisonkarte</t>
  </si>
  <si>
    <t xml:space="preserve">Sommersaison 2026</t>
  </si>
  <si>
    <t xml:space="preserve">Erwachsene €325; Senioren/U23 €294; Jugendliche €261; Kinder €199.</t>
  </si>
  <si>
    <t xml:space="preserve">Kofel Card</t>
  </si>
  <si>
    <t xml:space="preserve">01.10.2026–30.09.2027</t>
  </si>
  <si>
    <t xml:space="preserve">Saisonkarte; Familientarif reduziert einzelne Familienpreise (Erwachsene unverändert, Jugendliche €298, Kinder €109 laut Seite).</t>
  </si>
  <si>
    <t xml:space="preserve">Offizielle Preise 2026/27</t>
  </si>
  <si>
    <t xml:space="preserve">Bergbahn / Wandern</t>
  </si>
  <si>
    <t xml:space="preserve">Zirbenwegticket ohne Busticket</t>
  </si>
  <si>
    <t xml:space="preserve">Mit Busticket: Erwachsene €43, Jugendliche €34,50, Senioren/U23 €39, Kinder €25.</t>
  </si>
  <si>
    <t xml:space="preserve">Ermäßigt €7,50; Kinder 6–16 €6,50; Kinder darunter Alters-/Betreiberregel prüfen.</t>
  </si>
  <si>
    <t xml:space="preserve">Offizielle Preisübersicht</t>
  </si>
  <si>
    <t xml:space="preserve">Einzeleintritt Münzerturm</t>
  </si>
  <si>
    <t xml:space="preserve">Ermäßigt €6,00; Kinder 6–16 €5,50.</t>
  </si>
  <si>
    <t xml:space="preserve">Kombiticket Münze Hall + Münzerturm</t>
  </si>
  <si>
    <t xml:space="preserve">Familienticket €28; Familie light €17; Gruppenpreise ab 15 Personen Erwachsene €9,50, Kinder €7,00.</t>
  </si>
  <si>
    <t xml:space="preserve">Familien-Kombiticket</t>
  </si>
  <si>
    <t xml:space="preserve">2 Erwachsene mit max. 4 Kindern. Familien light (1 Erwachsener mit max. 4 Kindern) €17.</t>
  </si>
  <si>
    <t xml:space="preserve">Bonuspartner und Zusatzrabatte</t>
  </si>
  <si>
    <t xml:space="preserve">Rabatte außerhalb der inkludierten Leistungen. Angaben aus der offiziellen Bonusübersicht, geprüft am 27.10.2026; Bedingungen vor Einlösung beim Partner bestätigen.</t>
  </si>
  <si>
    <t xml:space="preserve">Bonuspartner</t>
  </si>
  <si>
    <t xml:space="preserve">Bereich</t>
  </si>
  <si>
    <t xml:space="preserve">Vorteil / Rabatt</t>
  </si>
  <si>
    <t xml:space="preserve">Bedingungen</t>
  </si>
  <si>
    <t xml:space="preserve">Status am 27.10.2026</t>
  </si>
  <si>
    <t xml:space="preserve">Offizielle Übersichtsseite</t>
  </si>
  <si>
    <t xml:space="preserve">studiø3</t>
  </si>
  <si>
    <t xml:space="preserve">Zusatzleistung/Studio</t>
  </si>
  <si>
    <t xml:space="preserve">2 Monate kostenlos bei neuem Jahresvertrag</t>
  </si>
  <si>
    <t xml:space="preserve">Nur bei Neuabschluss eines Jahresvertrags</t>
  </si>
  <si>
    <t xml:space="preserve">Aktiv laut aufgerufener Bonusübersicht; Bedingungen beim Partner prüfen</t>
  </si>
  <si>
    <t xml:space="preserve">https://www.freizeitticket.at/bonus/</t>
  </si>
  <si>
    <t xml:space="preserve">Daniel Haslwanter Fotografie</t>
  </si>
  <si>
    <t xml:space="preserve">Fotografie</t>
  </si>
  <si>
    <t xml:space="preserve">15 % auf Familien- oder Paarshootings</t>
  </si>
  <si>
    <t xml:space="preserve">Nicht mit anderen Aktionen kombinierbar</t>
  </si>
  <si>
    <t xml:space="preserve">InSALT Salzraum Tirol</t>
  </si>
  <si>
    <t xml:space="preserve">Wellness / Salzraum</t>
  </si>
  <si>
    <t xml:space="preserve">10 % auf Einzelsitzungen</t>
  </si>
  <si>
    <t xml:space="preserve">Ice Magic Innsbruck</t>
  </si>
  <si>
    <t xml:space="preserve">Eislauf / Event</t>
  </si>
  <si>
    <t xml:space="preserve">20 % auf regulären Ticketpreis</t>
  </si>
  <si>
    <t xml:space="preserve">Saisonangebot etwa Mitte Nov. 2026 bis Mitte Feb. 2027</t>
  </si>
  <si>
    <t xml:space="preserve">Aktivitätszeitraum; konkrete Öffnung/Tarife prüfen</t>
  </si>
  <si>
    <t xml:space="preserve">Airparc Stubai &amp; Zillertal</t>
  </si>
  <si>
    <t xml:space="preserve">Trampolin / Indoor-Aktivität</t>
  </si>
  <si>
    <t xml:space="preserve">10 % auf Tageskarte Di–Fr; zusätzlich 4 € Rabatt beim Erstbesuch</t>
  </si>
  <si>
    <t xml:space="preserve">Keine Doppelkombination der Rabatte</t>
  </si>
  <si>
    <t xml:space="preserve">Bedingungen/Standorte beim Partner prüfen</t>
  </si>
  <si>
    <t xml:space="preserve">CORTHEA Innsbruck</t>
  </si>
  <si>
    <t xml:space="preserve">Wellness / Anwendungen</t>
  </si>
  <si>
    <t xml:space="preserve">10 % auf alle Anwendungen; Code FREIZEIT10</t>
  </si>
  <si>
    <t xml:space="preserve">Bedingungen beim Partner prüfen</t>
  </si>
  <si>
    <t xml:space="preserve">MERKUR Innsbruckathlon</t>
  </si>
  <si>
    <t xml:space="preserve">Sportveranstaltung</t>
  </si>
  <si>
    <t xml:space="preserve">25 % mit Code FREIZEIT25</t>
  </si>
  <si>
    <t xml:space="preserve">Gültig 01.04.–30.04.2026</t>
  </si>
  <si>
    <t xml:space="preserve">ABGELAUFEN am 30.04.2026; nur zur Dokumentation</t>
  </si>
  <si>
    <t xml:space="preserve">Quellen, Datenstand und Grenzen</t>
  </si>
  <si>
    <t xml:space="preserve">Primärquellen und offene Prüfpunkte. Datenstand 27.10.2026, soweit die jeweilige Quelle aktuell einsehbar war.</t>
  </si>
  <si>
    <t xml:space="preserve">Quelle / Thema</t>
  </si>
  <si>
    <t xml:space="preserve">Verwendung in der Datei</t>
  </si>
  <si>
    <t xml:space="preserve">URL</t>
  </si>
  <si>
    <t xml:space="preserve">Prüfstand / Einschränkung</t>
  </si>
  <si>
    <t xml:space="preserve">Freizeitticket – Startseite / Leistungszahlen</t>
  </si>
  <si>
    <t xml:space="preserve">Offizielle Mengenangaben: Winter 32 Skigebiete, 13 Eislaufplätze, 12 Museen, 4 Hallenbäder; Sommer 21 Bergbahnen, 14 Freibäder, 4 Hallenbäder, 12 Museen.</t>
  </si>
  <si>
    <t xml:space="preserve">https://www.freizeitticket.at/</t>
  </si>
  <si>
    <t xml:space="preserve">Zählung/Startpunkt; geprüft 27.10.2026</t>
  </si>
  <si>
    <t xml:space="preserve">Freizeitticket – Kaufpreise</t>
  </si>
  <si>
    <t xml:space="preserve">Preise 2026/27, Altersgruppen, Familienpreise, Gültigkeitszeitraum und Keycard-Pfand.</t>
  </si>
  <si>
    <t xml:space="preserve">Tarife; geprüft 27.10.2026</t>
  </si>
  <si>
    <t xml:space="preserve">Freizeitticket – AGB</t>
  </si>
  <si>
    <t xml:space="preserve">Allgemeine Bedingungen, personenbezogene Karte, Sonderregeln, Zutrittsregelungen.</t>
  </si>
  <si>
    <t xml:space="preserve">https://www.freizeitticket.at/agb/</t>
  </si>
  <si>
    <t xml:space="preserve">Rechts-/Nutzungsbedingungen; Stand 24.09.2026 laut Seite</t>
  </si>
  <si>
    <t xml:space="preserve">Winter-Übersicht</t>
  </si>
  <si>
    <t xml:space="preserve">Winterangebote inkl. Skifahren, Eislaufen und Kultur sowie Sternchenhinweis.</t>
  </si>
  <si>
    <t xml:space="preserve">https://www.freizeitticket.at/winter/</t>
  </si>
  <si>
    <t xml:space="preserve">Partnerkategorien; geprüft 27.10.2026</t>
  </si>
  <si>
    <t xml:space="preserve">Skigebiete &amp; Lifte</t>
  </si>
  <si>
    <t xml:space="preserve">Detailübersicht der 32 Skigebiete/Lifte.</t>
  </si>
  <si>
    <t xml:space="preserve">Partnerliste; geprüft 27.10.2026</t>
  </si>
  <si>
    <t xml:space="preserve">Sommer-Übersicht</t>
  </si>
  <si>
    <t xml:space="preserve">Sommerangebote und Partnerübersicht.</t>
  </si>
  <si>
    <t xml:space="preserve">https://www.freizeitticket.at/sommer/</t>
  </si>
  <si>
    <t xml:space="preserve">Bergbahnen / Wandern</t>
  </si>
  <si>
    <t xml:space="preserve">Sommer-Bergbahnen.</t>
  </si>
  <si>
    <t xml:space="preserve">https://www.freizeitticket.at/sommer/wandern/</t>
  </si>
  <si>
    <t xml:space="preserve">Schwimmen</t>
  </si>
  <si>
    <t xml:space="preserve">Bäder, Badeseen, Hallen- und Freibäder.</t>
  </si>
  <si>
    <t xml:space="preserve">Kunst &amp; Kultur</t>
  </si>
  <si>
    <t xml:space="preserve">Museen und Kulturpartner.</t>
  </si>
  <si>
    <t xml:space="preserve">https://www.freizeitticket.at/winter/kunst-kultur/</t>
  </si>
  <si>
    <t xml:space="preserve">Offizielle Eislaufübersicht; Homepage zählt 13 Anlagen, in der sichtbaren Detailübersicht waren 12 Namen einzeln identifizierbar.</t>
  </si>
  <si>
    <t xml:space="preserve">Lücke transparent markiert; geprüft 27.10.2026</t>
  </si>
  <si>
    <t xml:space="preserve">Rodeln</t>
  </si>
  <si>
    <t xml:space="preserve">Offizielle Rodelübersicht; genannte Anlagen siehe Rodel-Hinweise bei den betroffenen Skigebieten.</t>
  </si>
  <si>
    <t xml:space="preserve">https://www.freizeitticket.at/winter/rodeln/</t>
  </si>
  <si>
    <t xml:space="preserve">Rodel-Verleih separat prüfen; geprüft 27.10.2026</t>
  </si>
  <si>
    <t xml:space="preserve">Nachtangebote</t>
  </si>
  <si>
    <t xml:space="preserve">Nachtskilauf/Nachtangebote; Betriebszeiten saisonal.</t>
  </si>
  <si>
    <t xml:space="preserve">https://www.freizeitticket.at/winter/bei-nacht/</t>
  </si>
  <si>
    <t xml:space="preserve">Aktuelle Öffnungszeiten prüfen</t>
  </si>
  <si>
    <t xml:space="preserve">Vergünstigungen außerhalb des inkludierten Ticketumfangs.</t>
  </si>
  <si>
    <t xml:space="preserve">Aktionsbedingungen/Zeiträume prüfen</t>
  </si>
  <si>
    <t xml:space="preserve">IKB – Badeanlagen</t>
  </si>
  <si>
    <t xml:space="preserve">Tarife und Eintrittsbedingungen für Hallenbäder, Tivoli und Baggersee.</t>
  </si>
  <si>
    <t xml:space="preserve">https://www.ikb.at/baeder/</t>
  </si>
  <si>
    <t xml:space="preserve">IKB-Tarife; geprüft 27.10.2026</t>
  </si>
  <si>
    <t xml:space="preserve">Völser Badl</t>
  </si>
  <si>
    <t xml:space="preserve">Sommertarife, Saisonkarten, Zuschläge.</t>
  </si>
  <si>
    <t xml:space="preserve">Sommer 2026, bereits abgelaufen</t>
  </si>
  <si>
    <t xml:space="preserve">Tiroler Landesmuseen</t>
  </si>
  <si>
    <t xml:space="preserve">Einzel-, Kombi- und Bergisel-Tarife; Freizeitticket 3 Zutritte pro Haus und Saison.</t>
  </si>
  <si>
    <t xml:space="preserve">Glockengießerei Grassmayr</t>
  </si>
  <si>
    <t xml:space="preserve">Museumseintritt, Gruppen-/Familienpreise und Führungen.</t>
  </si>
  <si>
    <t xml:space="preserve">Tarife gültig 01.05.2025–30.04.2027</t>
  </si>
  <si>
    <t xml:space="preserve">Einzel-, Familien-, Gruppen- und Kombinationstarife.</t>
  </si>
  <si>
    <t xml:space="preserve">Ticketvergleich online/vor Ort, Ermäßigung, Kinder- und Gruppenpreise.</t>
  </si>
  <si>
    <t xml:space="preserve">Tarife; geprüft 27.10.2026; FTT-Sonderregel extra prüfen</t>
  </si>
  <si>
    <t xml:space="preserve">Winter-Skipasspreise 2026/27; drei Freizeitticket-Zutritte.</t>
  </si>
  <si>
    <t xml:space="preserve">Hauptsaison 19.12.2026–02.04.2027, dynamische/weitere Tarifzeiten möglich</t>
  </si>
  <si>
    <t xml:space="preserve">Ischgl / Silvretta</t>
  </si>
  <si>
    <t xml:space="preserve">Mehrtagesskipasspreise und Saisonzeit.</t>
  </si>
  <si>
    <t xml:space="preserve">Saison 26.11.2026–02.05.2027; FTT selbst nur 3 Zutritte</t>
  </si>
  <si>
    <t xml:space="preserve">Bergbahntarife Sommer 2026.</t>
  </si>
  <si>
    <t xml:space="preserve">Sommer 2026; für 2027 neu prüfen</t>
  </si>
  <si>
    <t xml:space="preserve">Stubaier Gletscher – Webshop</t>
  </si>
  <si>
    <t xml:space="preserve">Datumsspezifische Ski-Tageskarte.</t>
  </si>
  <si>
    <t xml:space="preserve">€ 64,20 Erw. am 15.10.2026 als Beispiel; dynamisch/terminabhängig</t>
  </si>
  <si>
    <t xml:space="preserve">Axamer Lizum – Skipasstarife</t>
  </si>
  <si>
    <t xml:space="preserve">1-Tageskarte 2026/27, Hauptsaison; Quelle kennzeichnet Angaben ohne Gewähr.</t>
  </si>
  <si>
    <t xml:space="preserve">Online geprüft 27.10.2026; nicht Betreiberseite.</t>
  </si>
  <si>
    <t xml:space="preserve">Schwimmbad Hall – Preise 2026</t>
  </si>
  <si>
    <t xml:space="preserve">Ganztag, 2-Stunden-, Abend- und Saisonkarten.</t>
  </si>
  <si>
    <t xml:space="preserve">Offizielle Hall AG; Saison 2026.</t>
  </si>
  <si>
    <t xml:space="preserve">Schwimmbad Zirl – Tarife</t>
  </si>
  <si>
    <t xml:space="preserve">Tages-, Abend- und Saisonkarten.</t>
  </si>
  <si>
    <t xml:space="preserve">Gemeinde-/Betreiberinfo; Saison 2026.</t>
  </si>
  <si>
    <t xml:space="preserve">Eissportzentrum Götzens – Preise</t>
  </si>
  <si>
    <t xml:space="preserve">Einzeleintritt Erwachsene und Kinder/Jugendliche; Freizeitticket-Eintritt frei.</t>
  </si>
  <si>
    <t xml:space="preserve">Gemeinde Götzens; online geprüft Okt. 2026.</t>
  </si>
  <si>
    <t xml:space="preserve">Olympiaworld Innsbruck – Publikumseislauf</t>
  </si>
  <si>
    <t xml:space="preserve">Tarife, 10er-Block, Familienkarte und Schlittschuhverleih.</t>
  </si>
  <si>
    <t xml:space="preserve">Saison 2026/27; Freizeitticket freier Eintritt.</t>
  </si>
  <si>
    <t xml:space="preserve">Eislaufplatz Schwaz – Preise</t>
  </si>
  <si>
    <t xml:space="preserve">Eintritt, Saison-/Blockkarten und Schlittschuhverleih.</t>
  </si>
  <si>
    <t xml:space="preserve">Letzte online gefundene Preisliste: Saison 2025/26.</t>
  </si>
  <si>
    <t xml:space="preserve">Birkenlift &amp; Geigenbühel – Skipasstarife</t>
  </si>
  <si>
    <t xml:space="preserve">Tageskarten nach Uhrzeit und Punktekarten.</t>
  </si>
  <si>
    <t xml:space="preserve">Offizielle Preisangaben Winter 2026/27.</t>
  </si>
  <si>
    <t xml:space="preserve">Ski Arlberg – Preise Winter 2026/27</t>
  </si>
  <si>
    <t xml:space="preserve">Spitzen- und Nebensaison; Tages-, Mehrtages- und Saisonkarten. Peak-season Werte von Shoulder-season Werten getrennt.</t>
  </si>
  <si>
    <t xml:space="preserve">Offizielle Seite, online geprüft 27.10.2026.</t>
  </si>
  <si>
    <t xml:space="preserve">Eishalle Steinach – Tarife</t>
  </si>
  <si>
    <t xml:space="preserve">Einzeleintritt, Saisonkarte und Schlittschuhverleih.</t>
  </si>
  <si>
    <t xml:space="preserve">Letzte online gefundene Liste: Saison 2025/26.</t>
  </si>
  <si>
    <t xml:space="preserve">Patscherkofelbahn – Tarife</t>
  </si>
  <si>
    <t xml:space="preserve">Sommer-Bergfahrten, Saisonkarte Sommer und Kofel Card 2026/27.</t>
  </si>
  <si>
    <t xml:space="preserve">Offizielle Preise, Stand 27.10.2026.</t>
  </si>
  <si>
    <t xml:space="preserve">Burg Hasegg / Münze Hall – Preise</t>
  </si>
  <si>
    <t xml:space="preserve">Einzel-, Turm-, Kombi- und Familienpreise; Freizeitticket laut Betreiber bis zu drei Besuche jährlich.</t>
  </si>
  <si>
    <t xml:space="preserve">Offizielle Preise, online geprüft 27.10.2026.</t>
  </si>
  <si>
    <t xml:space="preserve">Freizeitticket Tirol 2026/27 – Gesamtübersicht</t>
  </si>
  <si>
    <t xml:space="preserve">Datenstand: 27.10.2026 | Ticketgültigkeit: 01.10.2026–30.09.2027 | Quelle vorrangig: offizielle Partner- und Anbieter-Websites</t>
  </si>
  <si>
    <t xml:space="preserve">Kennzahl</t>
  </si>
  <si>
    <t xml:space="preserve">Wert</t>
  </si>
  <si>
    <t xml:space="preserve">So liest du diese Arbeitsmappe</t>
  </si>
  <si>
    <t xml:space="preserve">Partner-/Aktivitätseinträge</t>
  </si>
  <si>
    <t xml:space="preserve">Partnerliste</t>
  </si>
  <si>
    <t xml:space="preserve">Alle bekannten Partner aus den offiziellen Angebotskategorien: 32 Skigebiete/Lifte, 18 Bäder/Badeseen, 12 Kulturpartner und 12 einzeln benannte Eislaufplätze plus eine transparent markierte ungeklärte 13. Position.</t>
  </si>
  <si>
    <t xml:space="preserve">Skigebiete / Lifte</t>
  </si>
  <si>
    <t xml:space="preserve">FTT-Kaufpreise</t>
  </si>
  <si>
    <t xml:space="preserve">Alle veröffentlichten Kaufpreiskategorien 2026/27 inkl. Vorverkauf, Normalpreis, Familienpreis und Keycard-Pfand.</t>
  </si>
  <si>
    <t xml:space="preserve">Bäder / Badeseen</t>
  </si>
  <si>
    <t xml:space="preserve">Preisvergleich je Partner</t>
  </si>
  <si>
    <t xml:space="preserve">Neue eigene Übersicht: Erwachsenen-/Kinderpreis direkt neben dem Ort; Nutzungslimits, Tarifzeitraum und Preisquelle stehen in derselben Zeile.</t>
  </si>
  <si>
    <t xml:space="preserve">Kultur-/Erlebnispunkte</t>
  </si>
  <si>
    <t xml:space="preserve">Zusatzrabatte außerhalb der inkludierten Leistungen; abgelaufene Aktionen sind als abgelaufen markiert.</t>
  </si>
  <si>
    <t xml:space="preserve">Benannte Eislaufplätze</t>
  </si>
  <si>
    <t xml:space="preserve">Quellen &amp; Grenzen</t>
  </si>
  <si>
    <t xml:space="preserve">Offizielle Links, Datenstand, Nachweise und offene Prüfpunkte.</t>
  </si>
  <si>
    <t xml:space="preserve">Erfasste Tarifzeilen</t>
  </si>
  <si>
    <t xml:space="preserve">Aktuell besonders wichtig</t>
  </si>
  <si>
    <t xml:space="preserve">Vorverkauf</t>
  </si>
  <si>
    <t xml:space="preserve">Bis einschließlich 31.10.2026: Erwachsene € 789; ab 01.11.2026 Normalpreis € 908. Weitere Alters- und Familienpreise stehen im Blatt „FTT-Kaufpreise“.</t>
  </si>
  <si>
    <t xml:space="preserve">Ticketgültigkeit 01.10.2026–30.09.2027. Betriebszeiten, Wetter, Revision und Saisonschluss können einzelne Leistungen einschränken.</t>
  </si>
  <si>
    <t xml:space="preserve">Zutrittslimits</t>
  </si>
  <si>
    <t xml:space="preserve">Ski Arlberg und Ischgl: jeweils nur 3 Zutritte, mit unterschiedlichen Detailbedingungen. Tiroler Landesmuseen: 3 Zutritte pro Haus und Saison. IKB-Bäder: maximal ein Bad pro Tag, teils mit Zeitlimit; Sauna nicht inkludiert.</t>
  </si>
  <si>
    <t xml:space="preserve">Preisabdeckung</t>
  </si>
  <si>
    <t xml:space="preserve">Preise stehen jetzt direkt neben jedem Partner. Nicht auffindbare Preise sind ausdrücklich als ungeprüft markiert; Vorjahres- und dynamische Preise sind mit Zeitraum versehen.</t>
  </si>
  <si>
    <t xml:space="preserve">Die regulären Tarife sind nicht für jeden Partner vollständig in dieser Datei enthalten. Nicht verifizierte Preise sind in der Partnerliste gekennzeichnet; es wurden keine Preise geschätzt.</t>
  </si>
  <si>
    <t xml:space="preserve">Transparenzlücke</t>
  </si>
  <si>
    <t xml:space="preserve">Die offizielle Freizeitticket-Startseite nennt 13 Eislaufplätze; in der abrufbaren Detailübersicht waren nur 12 Einrichtungen eindeutig benennbar. Die 13. Position ist ausdrücklich als noch zu verifizieren markiert.</t>
  </si>
  <si>
    <t xml:space="preserve">Offizielle Einstiegspunkte</t>
  </si>
  <si>
    <t xml:space="preserve">Ticketpreise</t>
  </si>
  <si>
    <t xml:space="preserve">Allgemeine Bedingungen</t>
  </si>
  <si>
    <t xml:space="preserve">Winterangebote</t>
  </si>
  <si>
    <t xml:space="preserve">Sommerangebote</t>
  </si>
  <si>
    <t xml:space="preserve">Schwimmen / Badeanlagen</t>
  </si>
  <si>
    <t xml:space="preserve">Freizeitticket Tirol 2026/27 – Preisvergleich je Partner</t>
  </si>
  <si>
    <t xml:space="preserve">Reguläre Vergleichspreise ohne Freizeitticket. Standardtickets und Saisonpreise sind je Anlage bezeichnet; nicht gefundene Tarife sind ausdrücklich markiert. Ältere Saisonpreise und dynamische Webshoppreise sind nicht als garantiert aktuelle Preise zu verstehen.</t>
  </si>
  <si>
    <t xml:space="preserve">Preis Erwachsene</t>
  </si>
  <si>
    <t xml:space="preserve">Preis Kind</t>
  </si>
  <si>
    <t xml:space="preserve">Freizeitticket: Nutzung / Zeitlimit</t>
  </si>
  <si>
    <t xml:space="preserve">Freizeitticket: Sonderbedingungen</t>
  </si>
  <si>
    <t xml:space="preserve">Quelle Preis</t>
  </si>
  <si>
    <t xml:space="preserve">Preisstatus / zusätzliche Hinweise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</si>
</sst>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&quot;€ &quot;#,##0.00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24344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243447"/>
      <name val="Calibri"/>
      <family val="0"/>
      <charset val="1"/>
    </font>
    <font>
      <b val="true"/>
      <sz val="13"/>
      <color rgb="FF243447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b val="true"/>
      <sz val="11"/>
      <color rgb="FF243447"/>
      <name val="Calibri"/>
      <family val="0"/>
      <charset val="1"/>
    </font>
    <font>
      <b val="true"/>
      <sz val="12"/>
      <color rgb="FF17324D"/>
      <name val="Calibri"/>
      <family val="0"/>
      <charset val="1"/>
    </font>
    <font>
      <b val="true"/>
      <sz val="11"/>
      <color rgb="FF17324D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color rgb="FF0563C1"/>
      <name val="Calibri"/>
      <family val="0"/>
      <charset val="1"/>
    </font>
    <font>
      <i val="true"/>
      <sz val="10"/>
      <color rgb="FF15436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7324D"/>
        <bgColor rgb="FF243447"/>
      </patternFill>
    </fill>
    <fill>
      <patternFill patternType="solid">
        <fgColor rgb="FFEAF1F8"/>
        <bgColor rgb="FFF3F5F7"/>
      </patternFill>
    </fill>
    <fill>
      <patternFill patternType="solid">
        <fgColor rgb="FF0F766E"/>
        <bgColor rgb="FF117864"/>
      </patternFill>
    </fill>
    <fill>
      <patternFill patternType="solid">
        <fgColor rgb="FF154360"/>
        <bgColor rgb="FF17324D"/>
      </patternFill>
    </fill>
    <fill>
      <patternFill patternType="solid">
        <fgColor rgb="FFF3F5F7"/>
        <bgColor rgb="FFEAF1F8"/>
      </patternFill>
    </fill>
    <fill>
      <patternFill patternType="solid">
        <fgColor rgb="FFFFFFFF"/>
        <bgColor rgb="FFF3F5F7"/>
      </patternFill>
    </fill>
    <fill>
      <patternFill patternType="solid">
        <fgColor rgb="FFD6EAF8"/>
        <bgColor rgb="FFEAF1F8"/>
      </patternFill>
    </fill>
    <fill>
      <patternFill patternType="solid">
        <fgColor rgb="FF117864"/>
        <bgColor rgb="FF0F766E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9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44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54360"/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ill>
        <patternFill patternType="solid">
          <fgColor rgb="FFEAF1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5F7"/>
      <rgbColor rgb="FFD6EAF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117864"/>
      <rgbColor rgb="FF0000FF"/>
      <rgbColor rgb="FF00CCFF"/>
      <rgbColor rgb="FFEAF1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154360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onuspartnerTable" displayName="BonuspartnerTable" ref="A3:G10" headerRowCount="1" totalsRowCount="0" totalsRowShown="0">
  <tableColumns count="7">
    <tableColumn id="1" name="Bonuspartner"/>
    <tableColumn id="2" name="Bereich"/>
    <tableColumn id="3" name="Vorteil / Rabatt"/>
    <tableColumn id="4" name="Bedingungen"/>
    <tableColumn id="5" name="Status am 27.10.2026"/>
    <tableColumn id="6" name="Offizielle Übersichtsseite"/>
    <tableColumn id="7" name="Geprüft am"/>
  </tableColumns>
</table>
</file>

<file path=xl/tables/table2.xml><?xml version="1.0" encoding="utf-8"?>
<table xmlns="http://schemas.openxmlformats.org/spreadsheetml/2006/main" id="2" name="FTTKaufpreiseTable" displayName="FTTKaufpreiseTable" ref="A3:I14" headerRowCount="1" totalsRowCount="0" totalsRowShown="0">
  <tableColumns count="9">
    <tableColumn id="1" name="Tarifart"/>
    <tableColumn id="2" name="Kategorie"/>
    <tableColumn id="3" name="Geburtsjahr / Anspruch"/>
    <tableColumn id="4" name="Vorverkauf €"/>
    <tableColumn id="5" name="Normalpreis €"/>
    <tableColumn id="6" name="Gültigkeit / Phase"/>
    <tableColumn id="7" name="Bedingungen / Hinweise"/>
    <tableColumn id="8" name="Offizielle Preisseite"/>
    <tableColumn id="9" name="Geprüft am"/>
  </tableColumns>
</table>
</file>

<file path=xl/tables/table3.xml><?xml version="1.0" encoding="utf-8"?>
<table xmlns="http://schemas.openxmlformats.org/spreadsheetml/2006/main" id="3" name="PartnerlisteTable" displayName="PartnerlisteTable" ref="A3:K78" headerRowCount="1" totalsRowCount="0" totalsRowShown="0">
  <tableColumns count="11">
    <tableColumn id="1" name="Kategorie"/>
    <tableColumn id="2" name="Ort / Partner"/>
    <tableColumn id="3" name="Gemeinde / Region"/>
    <tableColumn id="4" name="Saison"/>
    <tableColumn id="5" name="Inkludierte Leistung"/>
    <tableColumn id="6" name="Freizeitticket: Häufigkeit / Zeitlimit"/>
    <tableColumn id="7" name="Sonderbedingungen / Ausschlüsse"/>
    <tableColumn id="8" name="Freizeitticket-Detailseite"/>
    <tableColumn id="9" name="Tarifquelle / weitere Info"/>
    <tableColumn id="10" name="Status regulärer Preis"/>
    <tableColumn id="11" name="Geprüft am"/>
  </tableColumns>
</table>
</file>

<file path=xl/tables/table4.xml><?xml version="1.0" encoding="utf-8"?>
<table xmlns="http://schemas.openxmlformats.org/spreadsheetml/2006/main" id="4" name="RegularPricesTable" displayName="RegularPricesTable" ref="A3:N89" headerRowCount="1" totalsRowCount="0" totalsRowShown="0">
  <tableColumns count="14">
    <tableColumn id="1" name="Partner / Anlage"/>
    <tableColumn id="2" name="Kategorie"/>
    <tableColumn id="3" name="Ticketart / Produkt"/>
    <tableColumn id="4" name="Tarifperiode"/>
    <tableColumn id="5" name="Erwachsene €"/>
    <tableColumn id="6" name="Senioren €"/>
    <tableColumn id="7" name="Jugend €"/>
    <tableColumn id="8" name="Kinder €"/>
    <tableColumn id="9" name="Menschen mit Behinderung €"/>
    <tableColumn id="10" name="Familie / Gruppe €"/>
    <tableColumn id="11" name="Weitere Tarifdetails / Einschränkungen"/>
    <tableColumn id="12" name="Gültigkeit / Preisstand"/>
    <tableColumn id="13" name="Offizielle Quelle"/>
    <tableColumn id="14" name="Preisstatus / Kontext"/>
  </tableColumns>
</table>
</file>

<file path=xl/tables/table5.xml><?xml version="1.0" encoding="utf-8"?>
<table xmlns="http://schemas.openxmlformats.org/spreadsheetml/2006/main" id="5" name="SourcesTable" displayName="SourcesTable" ref="A3:D26" headerRowCount="1" totalsRowCount="0" totalsRowShown="0">
  <tableColumns count="4">
    <tableColumn id="1" name="Quelle / Thema"/>
    <tableColumn id="2" name="Verwendung in der Datei"/>
    <tableColumn id="3" name="URL"/>
    <tableColumn id="4" name="Prüfstand / Einschränkung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4" activeCellId="0" sqref="B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.58"/>
    <col collapsed="false" customWidth="true" hidden="false" outlineLevel="0" max="11" min="3" style="0" width="11.53"/>
    <col collapsed="false" customWidth="true" hidden="false" outlineLevel="0" max="12" min="12" style="0" width="24"/>
    <col collapsed="false" customWidth="true" hidden="false" outlineLevel="0" max="13" min="13" style="0" width="23"/>
    <col collapsed="false" customWidth="true" hidden="false" outlineLevel="0" max="14" min="14" style="0" width="34"/>
    <col collapsed="false" customWidth="true" hidden="false" outlineLevel="0" max="15" min="15" style="0" width="33"/>
    <col collapsed="false" customWidth="true" hidden="false" outlineLevel="0" max="16" min="16" style="0" width="45"/>
    <col collapsed="false" customWidth="true" hidden="false" outlineLevel="0" max="17" min="17" style="0" width="55"/>
  </cols>
  <sheetData>
    <row r="1" customFormat="false" ht="3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customFormat="false" ht="42" hidden="false" customHeight="true" outlineLevel="0" collapsed="false">
      <c r="A4" s="5" t="s">
        <v>19</v>
      </c>
      <c r="B4" s="6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7" t="s">
        <v>29</v>
      </c>
      <c r="L4" s="8" t="s">
        <v>30</v>
      </c>
      <c r="M4" s="8" t="s">
        <v>31</v>
      </c>
      <c r="N4" s="9" t="s">
        <v>32</v>
      </c>
      <c r="O4" s="9" t="s">
        <v>33</v>
      </c>
      <c r="P4" s="9" t="s">
        <v>34</v>
      </c>
      <c r="Q4" s="9" t="s">
        <v>35</v>
      </c>
    </row>
    <row r="5" customFormat="false" ht="42" hidden="false" customHeight="true" outlineLevel="0" collapsed="false">
      <c r="A5" s="5" t="s">
        <v>19</v>
      </c>
      <c r="B5" s="6" t="s">
        <v>36</v>
      </c>
      <c r="C5" s="5" t="s">
        <v>37</v>
      </c>
      <c r="D5" s="5" t="s">
        <v>22</v>
      </c>
      <c r="E5" s="5" t="s">
        <v>23</v>
      </c>
      <c r="F5" s="5" t="s">
        <v>24</v>
      </c>
      <c r="G5" s="5" t="s">
        <v>38</v>
      </c>
      <c r="H5" s="5" t="s">
        <v>39</v>
      </c>
      <c r="I5" s="5" t="s">
        <v>27</v>
      </c>
      <c r="J5" s="5" t="s">
        <v>28</v>
      </c>
      <c r="K5" s="7" t="s">
        <v>29</v>
      </c>
      <c r="L5" s="8" t="s">
        <v>40</v>
      </c>
      <c r="M5" s="8" t="s">
        <v>41</v>
      </c>
      <c r="N5" s="9" t="s">
        <v>42</v>
      </c>
      <c r="O5" s="9" t="s">
        <v>43</v>
      </c>
      <c r="P5" s="9" t="s">
        <v>44</v>
      </c>
      <c r="Q5" s="9" t="s">
        <v>45</v>
      </c>
    </row>
    <row r="6" customFormat="false" ht="42" hidden="false" customHeight="true" outlineLevel="0" collapsed="false">
      <c r="A6" s="5" t="s">
        <v>19</v>
      </c>
      <c r="B6" s="6" t="s">
        <v>46</v>
      </c>
      <c r="C6" s="5" t="s">
        <v>47</v>
      </c>
      <c r="D6" s="5" t="s">
        <v>22</v>
      </c>
      <c r="E6" s="5" t="s">
        <v>23</v>
      </c>
      <c r="F6" s="5" t="s">
        <v>24</v>
      </c>
      <c r="G6" s="5" t="s">
        <v>38</v>
      </c>
      <c r="H6" s="5" t="s">
        <v>48</v>
      </c>
      <c r="I6" s="5" t="s">
        <v>27</v>
      </c>
      <c r="J6" s="5" t="s">
        <v>28</v>
      </c>
      <c r="K6" s="7" t="s">
        <v>29</v>
      </c>
      <c r="L6" s="8" t="s">
        <v>49</v>
      </c>
      <c r="M6" s="8" t="s">
        <v>50</v>
      </c>
      <c r="N6" s="9" t="s">
        <v>32</v>
      </c>
      <c r="O6" s="9" t="s">
        <v>51</v>
      </c>
      <c r="P6" s="9" t="s">
        <v>52</v>
      </c>
      <c r="Q6" s="9" t="s">
        <v>53</v>
      </c>
    </row>
    <row r="7" customFormat="false" ht="42" hidden="false" customHeight="true" outlineLevel="0" collapsed="false">
      <c r="A7" s="5" t="s">
        <v>19</v>
      </c>
      <c r="B7" s="6" t="s">
        <v>54</v>
      </c>
      <c r="C7" s="5" t="s">
        <v>55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56</v>
      </c>
      <c r="I7" s="5" t="s">
        <v>57</v>
      </c>
      <c r="J7" s="5" t="s">
        <v>28</v>
      </c>
      <c r="K7" s="7" t="s">
        <v>29</v>
      </c>
      <c r="L7" s="8" t="s">
        <v>58</v>
      </c>
      <c r="M7" s="8" t="s">
        <v>59</v>
      </c>
      <c r="N7" s="9" t="s">
        <v>60</v>
      </c>
      <c r="O7" s="9" t="s">
        <v>61</v>
      </c>
      <c r="P7" s="9" t="s">
        <v>62</v>
      </c>
      <c r="Q7" s="9" t="s">
        <v>63</v>
      </c>
    </row>
    <row r="8" customFormat="false" ht="42" hidden="false" customHeight="true" outlineLevel="0" collapsed="false">
      <c r="A8" s="5" t="s">
        <v>19</v>
      </c>
      <c r="B8" s="6" t="s">
        <v>64</v>
      </c>
      <c r="C8" s="5" t="s">
        <v>65</v>
      </c>
      <c r="D8" s="5" t="s">
        <v>22</v>
      </c>
      <c r="E8" s="5" t="s">
        <v>23</v>
      </c>
      <c r="F8" s="5" t="s">
        <v>24</v>
      </c>
      <c r="G8" s="5" t="s">
        <v>25</v>
      </c>
      <c r="H8" s="5" t="s">
        <v>66</v>
      </c>
      <c r="I8" s="5" t="s">
        <v>27</v>
      </c>
      <c r="J8" s="5" t="s">
        <v>28</v>
      </c>
      <c r="K8" s="7" t="s">
        <v>29</v>
      </c>
      <c r="L8" s="8" t="s">
        <v>67</v>
      </c>
      <c r="M8" s="8" t="s">
        <v>68</v>
      </c>
      <c r="N8" s="9" t="s">
        <v>69</v>
      </c>
      <c r="O8" s="9" t="s">
        <v>51</v>
      </c>
      <c r="P8" s="9" t="s">
        <v>70</v>
      </c>
      <c r="Q8" s="9" t="s">
        <v>71</v>
      </c>
    </row>
    <row r="9" customFormat="false" ht="42" hidden="false" customHeight="true" outlineLevel="0" collapsed="false">
      <c r="A9" s="5" t="s">
        <v>19</v>
      </c>
      <c r="B9" s="6" t="s">
        <v>72</v>
      </c>
      <c r="C9" s="5" t="s">
        <v>73</v>
      </c>
      <c r="D9" s="5" t="s">
        <v>22</v>
      </c>
      <c r="E9" s="5" t="s">
        <v>23</v>
      </c>
      <c r="F9" s="5" t="s">
        <v>24</v>
      </c>
      <c r="G9" s="5" t="s">
        <v>38</v>
      </c>
      <c r="H9" s="5" t="s">
        <v>74</v>
      </c>
      <c r="I9" s="5" t="s">
        <v>27</v>
      </c>
      <c r="J9" s="5" t="s">
        <v>28</v>
      </c>
      <c r="K9" s="7" t="s">
        <v>29</v>
      </c>
      <c r="L9" s="8" t="s">
        <v>75</v>
      </c>
      <c r="M9" s="8" t="s">
        <v>76</v>
      </c>
      <c r="N9" s="9" t="s">
        <v>32</v>
      </c>
      <c r="O9" s="9" t="s">
        <v>77</v>
      </c>
      <c r="P9" s="9" t="s">
        <v>78</v>
      </c>
      <c r="Q9" s="9" t="s">
        <v>79</v>
      </c>
    </row>
    <row r="10" customFormat="false" ht="42" hidden="false" customHeight="true" outlineLevel="0" collapsed="false">
      <c r="A10" s="5" t="s">
        <v>19</v>
      </c>
      <c r="B10" s="6" t="s">
        <v>80</v>
      </c>
      <c r="C10" s="5" t="s">
        <v>81</v>
      </c>
      <c r="D10" s="5" t="s">
        <v>22</v>
      </c>
      <c r="E10" s="5" t="s">
        <v>23</v>
      </c>
      <c r="F10" s="5" t="s">
        <v>24</v>
      </c>
      <c r="G10" s="5" t="s">
        <v>38</v>
      </c>
      <c r="H10" s="5" t="s">
        <v>82</v>
      </c>
      <c r="I10" s="5" t="s">
        <v>27</v>
      </c>
      <c r="J10" s="5" t="s">
        <v>83</v>
      </c>
      <c r="K10" s="7" t="s">
        <v>29</v>
      </c>
      <c r="L10" s="8" t="s">
        <v>84</v>
      </c>
      <c r="M10" s="8" t="s">
        <v>85</v>
      </c>
      <c r="N10" s="9" t="s">
        <v>32</v>
      </c>
      <c r="O10" s="9" t="s">
        <v>86</v>
      </c>
      <c r="P10" s="9" t="s">
        <v>87</v>
      </c>
      <c r="Q10" s="9" t="s">
        <v>88</v>
      </c>
    </row>
    <row r="11" customFormat="false" ht="42" hidden="false" customHeight="true" outlineLevel="0" collapsed="false">
      <c r="A11" s="5" t="s">
        <v>19</v>
      </c>
      <c r="B11" s="6" t="s">
        <v>89</v>
      </c>
      <c r="C11" s="5" t="s">
        <v>90</v>
      </c>
      <c r="D11" s="5" t="s">
        <v>22</v>
      </c>
      <c r="E11" s="5" t="s">
        <v>23</v>
      </c>
      <c r="F11" s="5" t="s">
        <v>24</v>
      </c>
      <c r="G11" s="5" t="s">
        <v>38</v>
      </c>
      <c r="H11" s="5" t="s">
        <v>91</v>
      </c>
      <c r="I11" s="5" t="s">
        <v>27</v>
      </c>
      <c r="J11" s="5" t="s">
        <v>92</v>
      </c>
      <c r="K11" s="7" t="s">
        <v>29</v>
      </c>
      <c r="L11" s="8" t="s">
        <v>93</v>
      </c>
      <c r="M11" s="8" t="s">
        <v>94</v>
      </c>
      <c r="N11" s="9" t="s">
        <v>32</v>
      </c>
      <c r="O11" s="9" t="s">
        <v>95</v>
      </c>
      <c r="P11" s="9" t="s">
        <v>96</v>
      </c>
      <c r="Q11" s="9" t="s">
        <v>97</v>
      </c>
    </row>
    <row r="12" customFormat="false" ht="42" hidden="false" customHeight="true" outlineLevel="0" collapsed="false">
      <c r="A12" s="5" t="s">
        <v>19</v>
      </c>
      <c r="B12" s="6" t="s">
        <v>98</v>
      </c>
      <c r="C12" s="5" t="s">
        <v>99</v>
      </c>
      <c r="D12" s="5" t="s">
        <v>22</v>
      </c>
      <c r="E12" s="5" t="s">
        <v>23</v>
      </c>
      <c r="F12" s="5" t="s">
        <v>24</v>
      </c>
      <c r="G12" s="5" t="s">
        <v>38</v>
      </c>
      <c r="H12" s="5" t="s">
        <v>100</v>
      </c>
      <c r="I12" s="5" t="s">
        <v>27</v>
      </c>
      <c r="J12" s="5" t="s">
        <v>28</v>
      </c>
      <c r="K12" s="7" t="s">
        <v>29</v>
      </c>
      <c r="L12" s="8" t="s">
        <v>101</v>
      </c>
      <c r="M12" s="8" t="s">
        <v>102</v>
      </c>
      <c r="N12" s="9" t="s">
        <v>32</v>
      </c>
      <c r="O12" s="9" t="s">
        <v>51</v>
      </c>
      <c r="P12" s="9" t="s">
        <v>103</v>
      </c>
      <c r="Q12" s="9" t="s">
        <v>104</v>
      </c>
    </row>
    <row r="13" customFormat="false" ht="42" hidden="false" customHeight="true" outlineLevel="0" collapsed="false">
      <c r="A13" s="5" t="s">
        <v>19</v>
      </c>
      <c r="B13" s="6" t="s">
        <v>105</v>
      </c>
      <c r="C13" s="5" t="s">
        <v>106</v>
      </c>
      <c r="D13" s="5" t="s">
        <v>22</v>
      </c>
      <c r="E13" s="5" t="s">
        <v>23</v>
      </c>
      <c r="F13" s="5" t="s">
        <v>24</v>
      </c>
      <c r="G13" s="5" t="s">
        <v>25</v>
      </c>
      <c r="H13" s="5" t="s">
        <v>107</v>
      </c>
      <c r="I13" s="5" t="s">
        <v>27</v>
      </c>
      <c r="J13" s="5" t="s">
        <v>108</v>
      </c>
      <c r="K13" s="7" t="s">
        <v>29</v>
      </c>
      <c r="L13" s="8" t="s">
        <v>85</v>
      </c>
      <c r="M13" s="8" t="s">
        <v>85</v>
      </c>
      <c r="N13" s="9" t="s">
        <v>32</v>
      </c>
      <c r="O13" s="9" t="s">
        <v>109</v>
      </c>
      <c r="P13" s="9" t="s">
        <v>107</v>
      </c>
      <c r="Q13" s="9" t="s">
        <v>110</v>
      </c>
    </row>
    <row r="14" customFormat="false" ht="42" hidden="false" customHeight="true" outlineLevel="0" collapsed="false">
      <c r="A14" s="5" t="s">
        <v>19</v>
      </c>
      <c r="B14" s="6" t="s">
        <v>111</v>
      </c>
      <c r="C14" s="5" t="s">
        <v>112</v>
      </c>
      <c r="D14" s="5" t="s">
        <v>22</v>
      </c>
      <c r="E14" s="5" t="s">
        <v>23</v>
      </c>
      <c r="F14" s="5" t="s">
        <v>24</v>
      </c>
      <c r="G14" s="5" t="s">
        <v>25</v>
      </c>
      <c r="H14" s="5" t="s">
        <v>113</v>
      </c>
      <c r="I14" s="5" t="s">
        <v>27</v>
      </c>
      <c r="J14" s="5" t="s">
        <v>28</v>
      </c>
      <c r="K14" s="7" t="s">
        <v>29</v>
      </c>
      <c r="L14" s="8" t="s">
        <v>114</v>
      </c>
      <c r="M14" s="8" t="s">
        <v>115</v>
      </c>
      <c r="N14" s="9" t="s">
        <v>116</v>
      </c>
      <c r="O14" s="9" t="s">
        <v>117</v>
      </c>
      <c r="P14" s="9" t="s">
        <v>118</v>
      </c>
      <c r="Q14" s="9" t="s">
        <v>119</v>
      </c>
    </row>
    <row r="15" customFormat="false" ht="42" hidden="false" customHeight="true" outlineLevel="0" collapsed="false">
      <c r="A15" s="5" t="s">
        <v>19</v>
      </c>
      <c r="B15" s="6" t="s">
        <v>120</v>
      </c>
      <c r="C15" s="5" t="s">
        <v>121</v>
      </c>
      <c r="D15" s="5" t="s">
        <v>22</v>
      </c>
      <c r="E15" s="5" t="s">
        <v>23</v>
      </c>
      <c r="F15" s="5" t="s">
        <v>122</v>
      </c>
      <c r="G15" s="5" t="s">
        <v>123</v>
      </c>
      <c r="H15" s="5" t="s">
        <v>124</v>
      </c>
      <c r="I15" s="5" t="s">
        <v>125</v>
      </c>
      <c r="J15" s="5" t="s">
        <v>28</v>
      </c>
      <c r="K15" s="7" t="s">
        <v>29</v>
      </c>
      <c r="L15" s="8" t="s">
        <v>126</v>
      </c>
      <c r="M15" s="8" t="s">
        <v>127</v>
      </c>
      <c r="N15" s="9" t="s">
        <v>128</v>
      </c>
      <c r="O15" s="9" t="s">
        <v>77</v>
      </c>
      <c r="P15" s="9" t="s">
        <v>129</v>
      </c>
      <c r="Q15" s="9" t="s">
        <v>130</v>
      </c>
    </row>
    <row r="16" customFormat="false" ht="42" hidden="false" customHeight="true" outlineLevel="0" collapsed="false">
      <c r="A16" s="5" t="s">
        <v>19</v>
      </c>
      <c r="B16" s="6" t="s">
        <v>131</v>
      </c>
      <c r="C16" s="5" t="s">
        <v>132</v>
      </c>
      <c r="D16" s="5" t="s">
        <v>22</v>
      </c>
      <c r="E16" s="5" t="s">
        <v>23</v>
      </c>
      <c r="F16" s="5" t="s">
        <v>24</v>
      </c>
      <c r="G16" s="5" t="s">
        <v>38</v>
      </c>
      <c r="H16" s="5" t="s">
        <v>133</v>
      </c>
      <c r="I16" s="5" t="s">
        <v>27</v>
      </c>
      <c r="J16" s="5" t="s">
        <v>92</v>
      </c>
      <c r="K16" s="7" t="s">
        <v>29</v>
      </c>
      <c r="L16" s="8" t="s">
        <v>134</v>
      </c>
      <c r="M16" s="8" t="s">
        <v>135</v>
      </c>
      <c r="N16" s="9" t="s">
        <v>32</v>
      </c>
      <c r="O16" s="9" t="s">
        <v>95</v>
      </c>
      <c r="P16" s="9" t="s">
        <v>136</v>
      </c>
      <c r="Q16" s="9" t="s">
        <v>137</v>
      </c>
    </row>
    <row r="17" customFormat="false" ht="42" hidden="false" customHeight="true" outlineLevel="0" collapsed="false">
      <c r="A17" s="5" t="s">
        <v>19</v>
      </c>
      <c r="B17" s="6" t="s">
        <v>138</v>
      </c>
      <c r="C17" s="5" t="s">
        <v>139</v>
      </c>
      <c r="D17" s="5" t="s">
        <v>22</v>
      </c>
      <c r="E17" s="5" t="s">
        <v>23</v>
      </c>
      <c r="F17" s="5" t="s">
        <v>24</v>
      </c>
      <c r="G17" s="5" t="s">
        <v>38</v>
      </c>
      <c r="H17" s="5" t="s">
        <v>140</v>
      </c>
      <c r="I17" s="5" t="s">
        <v>27</v>
      </c>
      <c r="J17" s="5" t="s">
        <v>92</v>
      </c>
      <c r="K17" s="7" t="s">
        <v>29</v>
      </c>
      <c r="L17" s="8" t="s">
        <v>141</v>
      </c>
      <c r="M17" s="8" t="s">
        <v>142</v>
      </c>
      <c r="N17" s="9" t="s">
        <v>32</v>
      </c>
      <c r="O17" s="9" t="s">
        <v>95</v>
      </c>
      <c r="P17" s="9" t="s">
        <v>143</v>
      </c>
      <c r="Q17" s="9" t="s">
        <v>137</v>
      </c>
    </row>
    <row r="18" customFormat="false" ht="42" hidden="false" customHeight="true" outlineLevel="0" collapsed="false">
      <c r="A18" s="5" t="s">
        <v>19</v>
      </c>
      <c r="B18" s="6" t="s">
        <v>144</v>
      </c>
      <c r="C18" s="5" t="s">
        <v>145</v>
      </c>
      <c r="D18" s="5" t="s">
        <v>22</v>
      </c>
      <c r="E18" s="5" t="s">
        <v>23</v>
      </c>
      <c r="F18" s="5" t="s">
        <v>24</v>
      </c>
      <c r="G18" s="5" t="s">
        <v>25</v>
      </c>
      <c r="H18" s="5" t="s">
        <v>146</v>
      </c>
      <c r="I18" s="5" t="s">
        <v>27</v>
      </c>
      <c r="J18" s="5" t="s">
        <v>92</v>
      </c>
      <c r="K18" s="7" t="s">
        <v>29</v>
      </c>
      <c r="L18" s="8" t="s">
        <v>147</v>
      </c>
      <c r="M18" s="8" t="s">
        <v>148</v>
      </c>
      <c r="N18" s="9" t="s">
        <v>149</v>
      </c>
      <c r="O18" s="9" t="s">
        <v>150</v>
      </c>
      <c r="P18" s="9" t="s">
        <v>151</v>
      </c>
      <c r="Q18" s="9" t="s">
        <v>152</v>
      </c>
    </row>
    <row r="19" customFormat="false" ht="42" hidden="false" customHeight="true" outlineLevel="0" collapsed="false">
      <c r="A19" s="5" t="s">
        <v>19</v>
      </c>
      <c r="B19" s="6" t="s">
        <v>153</v>
      </c>
      <c r="C19" s="5" t="s">
        <v>154</v>
      </c>
      <c r="D19" s="5" t="s">
        <v>22</v>
      </c>
      <c r="E19" s="5" t="s">
        <v>23</v>
      </c>
      <c r="F19" s="5" t="s">
        <v>24</v>
      </c>
      <c r="G19" s="5" t="s">
        <v>25</v>
      </c>
      <c r="H19" s="5" t="s">
        <v>155</v>
      </c>
      <c r="I19" s="5" t="s">
        <v>27</v>
      </c>
      <c r="J19" s="5" t="s">
        <v>28</v>
      </c>
      <c r="K19" s="7" t="s">
        <v>29</v>
      </c>
      <c r="L19" s="8" t="s">
        <v>156</v>
      </c>
      <c r="M19" s="8" t="s">
        <v>157</v>
      </c>
      <c r="N19" s="9" t="s">
        <v>158</v>
      </c>
      <c r="O19" s="9" t="s">
        <v>159</v>
      </c>
      <c r="P19" s="9" t="s">
        <v>160</v>
      </c>
      <c r="Q19" s="9" t="s">
        <v>161</v>
      </c>
    </row>
    <row r="20" customFormat="false" ht="42" hidden="false" customHeight="true" outlineLevel="0" collapsed="false">
      <c r="A20" s="5" t="s">
        <v>19</v>
      </c>
      <c r="B20" s="6" t="s">
        <v>162</v>
      </c>
      <c r="C20" s="5" t="s">
        <v>163</v>
      </c>
      <c r="D20" s="5" t="s">
        <v>22</v>
      </c>
      <c r="E20" s="5" t="s">
        <v>23</v>
      </c>
      <c r="F20" s="5" t="s">
        <v>24</v>
      </c>
      <c r="G20" s="5" t="s">
        <v>38</v>
      </c>
      <c r="H20" s="5" t="s">
        <v>164</v>
      </c>
      <c r="I20" s="5" t="s">
        <v>27</v>
      </c>
      <c r="J20" s="5" t="s">
        <v>28</v>
      </c>
      <c r="K20" s="7" t="s">
        <v>29</v>
      </c>
      <c r="L20" s="8" t="s">
        <v>165</v>
      </c>
      <c r="M20" s="8" t="s">
        <v>142</v>
      </c>
      <c r="N20" s="9" t="s">
        <v>32</v>
      </c>
      <c r="O20" s="9" t="s">
        <v>77</v>
      </c>
      <c r="P20" s="9" t="s">
        <v>166</v>
      </c>
      <c r="Q20" s="9" t="s">
        <v>167</v>
      </c>
    </row>
    <row r="21" customFormat="false" ht="42" hidden="false" customHeight="true" outlineLevel="0" collapsed="false">
      <c r="A21" s="5" t="s">
        <v>19</v>
      </c>
      <c r="B21" s="6" t="s">
        <v>168</v>
      </c>
      <c r="C21" s="5" t="s">
        <v>169</v>
      </c>
      <c r="D21" s="5" t="s">
        <v>22</v>
      </c>
      <c r="E21" s="5" t="s">
        <v>23</v>
      </c>
      <c r="F21" s="5" t="s">
        <v>24</v>
      </c>
      <c r="G21" s="5" t="s">
        <v>38</v>
      </c>
      <c r="H21" s="5" t="s">
        <v>170</v>
      </c>
      <c r="I21" s="5" t="s">
        <v>27</v>
      </c>
      <c r="J21" s="5" t="s">
        <v>92</v>
      </c>
      <c r="K21" s="7" t="s">
        <v>29</v>
      </c>
      <c r="L21" s="8" t="s">
        <v>171</v>
      </c>
      <c r="M21" s="8" t="s">
        <v>172</v>
      </c>
      <c r="N21" s="9" t="s">
        <v>32</v>
      </c>
      <c r="O21" s="9" t="s">
        <v>95</v>
      </c>
      <c r="P21" s="9" t="s">
        <v>173</v>
      </c>
      <c r="Q21" s="9" t="s">
        <v>174</v>
      </c>
    </row>
    <row r="22" customFormat="false" ht="42" hidden="false" customHeight="true" outlineLevel="0" collapsed="false">
      <c r="A22" s="5" t="s">
        <v>19</v>
      </c>
      <c r="B22" s="6" t="s">
        <v>175</v>
      </c>
      <c r="C22" s="5" t="s">
        <v>55</v>
      </c>
      <c r="D22" s="5" t="s">
        <v>22</v>
      </c>
      <c r="E22" s="5" t="s">
        <v>176</v>
      </c>
      <c r="F22" s="5" t="s">
        <v>24</v>
      </c>
      <c r="G22" s="5" t="s">
        <v>25</v>
      </c>
      <c r="H22" s="5" t="s">
        <v>177</v>
      </c>
      <c r="I22" s="5" t="s">
        <v>27</v>
      </c>
      <c r="J22" s="5" t="s">
        <v>28</v>
      </c>
      <c r="K22" s="7" t="s">
        <v>29</v>
      </c>
      <c r="L22" s="8" t="s">
        <v>31</v>
      </c>
      <c r="M22" s="8" t="s">
        <v>178</v>
      </c>
      <c r="N22" s="9" t="s">
        <v>179</v>
      </c>
      <c r="O22" s="9" t="s">
        <v>77</v>
      </c>
      <c r="P22" s="9" t="s">
        <v>180</v>
      </c>
      <c r="Q22" s="9" t="s">
        <v>181</v>
      </c>
    </row>
    <row r="23" customFormat="false" ht="42" hidden="false" customHeight="true" outlineLevel="0" collapsed="false">
      <c r="A23" s="5" t="s">
        <v>19</v>
      </c>
      <c r="B23" s="6" t="s">
        <v>182</v>
      </c>
      <c r="C23" s="5" t="s">
        <v>183</v>
      </c>
      <c r="D23" s="5" t="s">
        <v>22</v>
      </c>
      <c r="E23" s="5" t="s">
        <v>23</v>
      </c>
      <c r="F23" s="5" t="s">
        <v>24</v>
      </c>
      <c r="G23" s="5" t="s">
        <v>38</v>
      </c>
      <c r="H23" s="5" t="s">
        <v>184</v>
      </c>
      <c r="I23" s="5" t="s">
        <v>27</v>
      </c>
      <c r="J23" s="5" t="s">
        <v>92</v>
      </c>
      <c r="K23" s="7" t="s">
        <v>29</v>
      </c>
      <c r="L23" s="8" t="s">
        <v>185</v>
      </c>
      <c r="M23" s="8" t="s">
        <v>186</v>
      </c>
      <c r="N23" s="9" t="s">
        <v>32</v>
      </c>
      <c r="O23" s="9" t="s">
        <v>95</v>
      </c>
      <c r="P23" s="9" t="s">
        <v>187</v>
      </c>
      <c r="Q23" s="9" t="s">
        <v>188</v>
      </c>
    </row>
    <row r="24" customFormat="false" ht="42" hidden="false" customHeight="true" outlineLevel="0" collapsed="false">
      <c r="A24" s="5" t="s">
        <v>19</v>
      </c>
      <c r="B24" s="6" t="s">
        <v>189</v>
      </c>
      <c r="C24" s="5" t="s">
        <v>190</v>
      </c>
      <c r="D24" s="5" t="s">
        <v>22</v>
      </c>
      <c r="E24" s="5" t="s">
        <v>23</v>
      </c>
      <c r="F24" s="5" t="s">
        <v>191</v>
      </c>
      <c r="G24" s="5" t="s">
        <v>192</v>
      </c>
      <c r="H24" s="5" t="s">
        <v>193</v>
      </c>
      <c r="I24" s="5" t="s">
        <v>194</v>
      </c>
      <c r="J24" s="5" t="s">
        <v>28</v>
      </c>
      <c r="K24" s="7" t="s">
        <v>29</v>
      </c>
      <c r="L24" s="8" t="s">
        <v>195</v>
      </c>
      <c r="M24" s="8" t="s">
        <v>127</v>
      </c>
      <c r="N24" s="9" t="s">
        <v>32</v>
      </c>
      <c r="O24" s="9" t="s">
        <v>196</v>
      </c>
      <c r="P24" s="9" t="s">
        <v>194</v>
      </c>
      <c r="Q24" s="9" t="s">
        <v>197</v>
      </c>
    </row>
    <row r="25" customFormat="false" ht="42" hidden="false" customHeight="true" outlineLevel="0" collapsed="false">
      <c r="A25" s="5" t="s">
        <v>19</v>
      </c>
      <c r="B25" s="6" t="s">
        <v>198</v>
      </c>
      <c r="C25" s="5" t="s">
        <v>199</v>
      </c>
      <c r="D25" s="5" t="s">
        <v>22</v>
      </c>
      <c r="E25" s="5" t="s">
        <v>176</v>
      </c>
      <c r="F25" s="5" t="s">
        <v>24</v>
      </c>
      <c r="G25" s="5" t="s">
        <v>25</v>
      </c>
      <c r="H25" s="5" t="s">
        <v>200</v>
      </c>
      <c r="I25" s="5" t="s">
        <v>27</v>
      </c>
      <c r="J25" s="5" t="s">
        <v>108</v>
      </c>
      <c r="K25" s="7" t="s">
        <v>29</v>
      </c>
      <c r="L25" s="8" t="s">
        <v>85</v>
      </c>
      <c r="M25" s="8" t="s">
        <v>85</v>
      </c>
      <c r="N25" s="9" t="s">
        <v>201</v>
      </c>
      <c r="O25" s="9" t="s">
        <v>109</v>
      </c>
      <c r="P25" s="9" t="s">
        <v>200</v>
      </c>
      <c r="Q25" s="9" t="s">
        <v>202</v>
      </c>
    </row>
    <row r="26" customFormat="false" ht="42" hidden="false" customHeight="true" outlineLevel="0" collapsed="false">
      <c r="A26" s="5" t="s">
        <v>19</v>
      </c>
      <c r="B26" s="6" t="s">
        <v>203</v>
      </c>
      <c r="C26" s="5" t="s">
        <v>55</v>
      </c>
      <c r="D26" s="5" t="s">
        <v>22</v>
      </c>
      <c r="E26" s="5" t="s">
        <v>176</v>
      </c>
      <c r="F26" s="5" t="s">
        <v>24</v>
      </c>
      <c r="G26" s="5" t="s">
        <v>25</v>
      </c>
      <c r="H26" s="5" t="s">
        <v>204</v>
      </c>
      <c r="I26" s="5" t="s">
        <v>27</v>
      </c>
      <c r="J26" s="5" t="s">
        <v>28</v>
      </c>
      <c r="K26" s="7" t="s">
        <v>29</v>
      </c>
      <c r="L26" s="8" t="s">
        <v>31</v>
      </c>
      <c r="M26" s="8" t="s">
        <v>178</v>
      </c>
      <c r="N26" s="9" t="s">
        <v>179</v>
      </c>
      <c r="O26" s="9" t="s">
        <v>77</v>
      </c>
      <c r="P26" s="9" t="s">
        <v>180</v>
      </c>
      <c r="Q26" s="9" t="s">
        <v>205</v>
      </c>
    </row>
    <row r="27" customFormat="false" ht="42" hidden="false" customHeight="true" outlineLevel="0" collapsed="false">
      <c r="A27" s="5" t="s">
        <v>19</v>
      </c>
      <c r="B27" s="6" t="s">
        <v>206</v>
      </c>
      <c r="C27" s="5" t="s">
        <v>207</v>
      </c>
      <c r="D27" s="5" t="s">
        <v>22</v>
      </c>
      <c r="E27" s="5" t="s">
        <v>176</v>
      </c>
      <c r="F27" s="5" t="s">
        <v>24</v>
      </c>
      <c r="G27" s="5" t="s">
        <v>25</v>
      </c>
      <c r="H27" s="5" t="s">
        <v>208</v>
      </c>
      <c r="I27" s="5" t="s">
        <v>27</v>
      </c>
      <c r="J27" s="5" t="s">
        <v>108</v>
      </c>
      <c r="K27" s="7" t="s">
        <v>29</v>
      </c>
      <c r="L27" s="8" t="s">
        <v>85</v>
      </c>
      <c r="M27" s="8" t="s">
        <v>85</v>
      </c>
      <c r="N27" s="9" t="s">
        <v>209</v>
      </c>
      <c r="O27" s="9" t="s">
        <v>109</v>
      </c>
      <c r="P27" s="9" t="s">
        <v>208</v>
      </c>
      <c r="Q27" s="9" t="s">
        <v>202</v>
      </c>
    </row>
    <row r="28" customFormat="false" ht="42" hidden="false" customHeight="true" outlineLevel="0" collapsed="false">
      <c r="A28" s="5" t="s">
        <v>19</v>
      </c>
      <c r="B28" s="6" t="s">
        <v>210</v>
      </c>
      <c r="C28" s="5" t="s">
        <v>211</v>
      </c>
      <c r="D28" s="5" t="s">
        <v>22</v>
      </c>
      <c r="E28" s="5" t="s">
        <v>176</v>
      </c>
      <c r="F28" s="5" t="s">
        <v>24</v>
      </c>
      <c r="G28" s="5" t="s">
        <v>25</v>
      </c>
      <c r="H28" s="5" t="s">
        <v>212</v>
      </c>
      <c r="I28" s="5" t="s">
        <v>27</v>
      </c>
      <c r="J28" s="5" t="s">
        <v>83</v>
      </c>
      <c r="K28" s="7" t="s">
        <v>29</v>
      </c>
      <c r="L28" s="8" t="s">
        <v>213</v>
      </c>
      <c r="M28" s="8" t="s">
        <v>85</v>
      </c>
      <c r="N28" s="9" t="s">
        <v>214</v>
      </c>
      <c r="O28" s="9" t="s">
        <v>215</v>
      </c>
      <c r="P28" s="9" t="s">
        <v>216</v>
      </c>
      <c r="Q28" s="9" t="s">
        <v>217</v>
      </c>
    </row>
    <row r="29" customFormat="false" ht="42" hidden="false" customHeight="true" outlineLevel="0" collapsed="false">
      <c r="A29" s="5" t="s">
        <v>19</v>
      </c>
      <c r="B29" s="6" t="s">
        <v>218</v>
      </c>
      <c r="C29" s="5" t="s">
        <v>219</v>
      </c>
      <c r="D29" s="5" t="s">
        <v>22</v>
      </c>
      <c r="E29" s="5" t="s">
        <v>176</v>
      </c>
      <c r="F29" s="5" t="s">
        <v>24</v>
      </c>
      <c r="G29" s="5" t="s">
        <v>25</v>
      </c>
      <c r="H29" s="5" t="s">
        <v>220</v>
      </c>
      <c r="I29" s="5" t="s">
        <v>27</v>
      </c>
      <c r="J29" s="5" t="s">
        <v>108</v>
      </c>
      <c r="K29" s="7" t="s">
        <v>29</v>
      </c>
      <c r="L29" s="8" t="s">
        <v>85</v>
      </c>
      <c r="M29" s="8" t="s">
        <v>85</v>
      </c>
      <c r="N29" s="9" t="s">
        <v>221</v>
      </c>
      <c r="O29" s="9" t="s">
        <v>109</v>
      </c>
      <c r="P29" s="9" t="s">
        <v>220</v>
      </c>
      <c r="Q29" s="9" t="s">
        <v>222</v>
      </c>
    </row>
    <row r="30" customFormat="false" ht="42" hidden="false" customHeight="true" outlineLevel="0" collapsed="false">
      <c r="A30" s="5" t="s">
        <v>19</v>
      </c>
      <c r="B30" s="6" t="s">
        <v>223</v>
      </c>
      <c r="C30" s="5" t="s">
        <v>224</v>
      </c>
      <c r="D30" s="5" t="s">
        <v>22</v>
      </c>
      <c r="E30" s="5" t="s">
        <v>176</v>
      </c>
      <c r="F30" s="5" t="s">
        <v>24</v>
      </c>
      <c r="G30" s="5" t="s">
        <v>25</v>
      </c>
      <c r="H30" s="5" t="s">
        <v>225</v>
      </c>
      <c r="I30" s="5" t="s">
        <v>27</v>
      </c>
      <c r="J30" s="5" t="s">
        <v>108</v>
      </c>
      <c r="K30" s="7" t="s">
        <v>29</v>
      </c>
      <c r="L30" s="8" t="s">
        <v>85</v>
      </c>
      <c r="M30" s="8" t="s">
        <v>85</v>
      </c>
      <c r="N30" s="9" t="s">
        <v>201</v>
      </c>
      <c r="O30" s="9" t="s">
        <v>109</v>
      </c>
      <c r="P30" s="9" t="s">
        <v>225</v>
      </c>
      <c r="Q30" s="9" t="s">
        <v>222</v>
      </c>
    </row>
    <row r="31" customFormat="false" ht="42" hidden="false" customHeight="true" outlineLevel="0" collapsed="false">
      <c r="A31" s="5" t="s">
        <v>19</v>
      </c>
      <c r="B31" s="6" t="s">
        <v>226</v>
      </c>
      <c r="C31" s="5" t="s">
        <v>227</v>
      </c>
      <c r="D31" s="5" t="s">
        <v>22</v>
      </c>
      <c r="E31" s="5" t="s">
        <v>176</v>
      </c>
      <c r="F31" s="5" t="s">
        <v>24</v>
      </c>
      <c r="G31" s="5" t="s">
        <v>25</v>
      </c>
      <c r="H31" s="5" t="s">
        <v>228</v>
      </c>
      <c r="I31" s="5" t="s">
        <v>27</v>
      </c>
      <c r="J31" s="5" t="s">
        <v>83</v>
      </c>
      <c r="K31" s="7" t="s">
        <v>29</v>
      </c>
      <c r="L31" s="8" t="s">
        <v>229</v>
      </c>
      <c r="M31" s="8" t="s">
        <v>85</v>
      </c>
      <c r="N31" s="9" t="s">
        <v>214</v>
      </c>
      <c r="O31" s="9" t="s">
        <v>215</v>
      </c>
      <c r="P31" s="9" t="s">
        <v>216</v>
      </c>
      <c r="Q31" s="9" t="s">
        <v>230</v>
      </c>
    </row>
    <row r="32" customFormat="false" ht="42" hidden="false" customHeight="true" outlineLevel="0" collapsed="false">
      <c r="A32" s="5" t="s">
        <v>19</v>
      </c>
      <c r="B32" s="6" t="s">
        <v>231</v>
      </c>
      <c r="C32" s="5" t="s">
        <v>81</v>
      </c>
      <c r="D32" s="5" t="s">
        <v>22</v>
      </c>
      <c r="E32" s="5" t="s">
        <v>23</v>
      </c>
      <c r="F32" s="5" t="s">
        <v>24</v>
      </c>
      <c r="G32" s="5" t="s">
        <v>25</v>
      </c>
      <c r="H32" s="5" t="s">
        <v>232</v>
      </c>
      <c r="I32" s="5" t="s">
        <v>233</v>
      </c>
      <c r="J32" s="5" t="s">
        <v>234</v>
      </c>
      <c r="K32" s="7" t="s">
        <v>29</v>
      </c>
      <c r="L32" s="8" t="s">
        <v>235</v>
      </c>
      <c r="M32" s="8" t="s">
        <v>236</v>
      </c>
      <c r="N32" s="9" t="s">
        <v>237</v>
      </c>
      <c r="O32" s="9" t="s">
        <v>238</v>
      </c>
      <c r="P32" s="9" t="s">
        <v>233</v>
      </c>
      <c r="Q32" s="9" t="s">
        <v>239</v>
      </c>
    </row>
    <row r="33" customFormat="false" ht="42" hidden="false" customHeight="true" outlineLevel="0" collapsed="false">
      <c r="A33" s="5" t="s">
        <v>19</v>
      </c>
      <c r="B33" s="6" t="s">
        <v>240</v>
      </c>
      <c r="C33" s="5" t="s">
        <v>241</v>
      </c>
      <c r="D33" s="5" t="s">
        <v>22</v>
      </c>
      <c r="E33" s="5" t="s">
        <v>176</v>
      </c>
      <c r="F33" s="5" t="s">
        <v>24</v>
      </c>
      <c r="G33" s="5" t="s">
        <v>25</v>
      </c>
      <c r="H33" s="5" t="s">
        <v>242</v>
      </c>
      <c r="I33" s="5" t="s">
        <v>27</v>
      </c>
      <c r="J33" s="5" t="s">
        <v>108</v>
      </c>
      <c r="K33" s="7" t="s">
        <v>29</v>
      </c>
      <c r="L33" s="8" t="s">
        <v>85</v>
      </c>
      <c r="M33" s="8" t="s">
        <v>85</v>
      </c>
      <c r="N33" s="9" t="s">
        <v>243</v>
      </c>
      <c r="O33" s="9" t="s">
        <v>109</v>
      </c>
      <c r="P33" s="9" t="s">
        <v>242</v>
      </c>
      <c r="Q33" s="9" t="s">
        <v>222</v>
      </c>
    </row>
    <row r="34" customFormat="false" ht="42" hidden="false" customHeight="true" outlineLevel="0" collapsed="false">
      <c r="A34" s="5" t="s">
        <v>19</v>
      </c>
      <c r="B34" s="6" t="s">
        <v>244</v>
      </c>
      <c r="C34" s="5" t="s">
        <v>245</v>
      </c>
      <c r="D34" s="5" t="s">
        <v>22</v>
      </c>
      <c r="E34" s="5" t="s">
        <v>176</v>
      </c>
      <c r="F34" s="5" t="s">
        <v>24</v>
      </c>
      <c r="G34" s="5" t="s">
        <v>25</v>
      </c>
      <c r="H34" s="5" t="s">
        <v>246</v>
      </c>
      <c r="I34" s="5" t="s">
        <v>27</v>
      </c>
      <c r="J34" s="5" t="s">
        <v>108</v>
      </c>
      <c r="K34" s="7" t="s">
        <v>29</v>
      </c>
      <c r="L34" s="8" t="s">
        <v>85</v>
      </c>
      <c r="M34" s="8" t="s">
        <v>85</v>
      </c>
      <c r="N34" s="9" t="s">
        <v>201</v>
      </c>
      <c r="O34" s="9" t="s">
        <v>109</v>
      </c>
      <c r="P34" s="9" t="s">
        <v>246</v>
      </c>
      <c r="Q34" s="9" t="s">
        <v>222</v>
      </c>
    </row>
    <row r="35" customFormat="false" ht="42" hidden="false" customHeight="true" outlineLevel="0" collapsed="false">
      <c r="A35" s="5" t="s">
        <v>19</v>
      </c>
      <c r="B35" s="6" t="s">
        <v>247</v>
      </c>
      <c r="C35" s="5" t="s">
        <v>248</v>
      </c>
      <c r="D35" s="5" t="s">
        <v>22</v>
      </c>
      <c r="E35" s="5" t="s">
        <v>176</v>
      </c>
      <c r="F35" s="5" t="s">
        <v>24</v>
      </c>
      <c r="G35" s="5" t="s">
        <v>25</v>
      </c>
      <c r="H35" s="5" t="s">
        <v>249</v>
      </c>
      <c r="I35" s="5" t="s">
        <v>27</v>
      </c>
      <c r="J35" s="5" t="s">
        <v>108</v>
      </c>
      <c r="K35" s="7" t="s">
        <v>29</v>
      </c>
      <c r="L35" s="8" t="s">
        <v>85</v>
      </c>
      <c r="M35" s="8" t="s">
        <v>85</v>
      </c>
      <c r="N35" s="9" t="s">
        <v>243</v>
      </c>
      <c r="O35" s="9" t="s">
        <v>109</v>
      </c>
      <c r="P35" s="9" t="s">
        <v>249</v>
      </c>
      <c r="Q35" s="9" t="s">
        <v>222</v>
      </c>
    </row>
    <row r="36" customFormat="false" ht="42" hidden="false" customHeight="true" outlineLevel="0" collapsed="false">
      <c r="A36" s="5" t="s">
        <v>250</v>
      </c>
      <c r="B36" s="6" t="s">
        <v>251</v>
      </c>
      <c r="C36" s="5" t="s">
        <v>241</v>
      </c>
      <c r="D36" s="5" t="s">
        <v>252</v>
      </c>
      <c r="E36" s="5" t="s">
        <v>253</v>
      </c>
      <c r="F36" s="5" t="s">
        <v>254</v>
      </c>
      <c r="G36" s="5" t="s">
        <v>255</v>
      </c>
      <c r="H36" s="5" t="s">
        <v>256</v>
      </c>
      <c r="I36" s="5" t="s">
        <v>257</v>
      </c>
      <c r="J36" s="5" t="s">
        <v>28</v>
      </c>
      <c r="K36" s="7" t="s">
        <v>29</v>
      </c>
      <c r="L36" s="8" t="s">
        <v>258</v>
      </c>
      <c r="M36" s="8" t="s">
        <v>259</v>
      </c>
      <c r="N36" s="9" t="s">
        <v>260</v>
      </c>
      <c r="O36" s="9" t="s">
        <v>261</v>
      </c>
      <c r="P36" s="9" t="s">
        <v>262</v>
      </c>
      <c r="Q36" s="9" t="s">
        <v>263</v>
      </c>
    </row>
    <row r="37" customFormat="false" ht="42" hidden="false" customHeight="true" outlineLevel="0" collapsed="false">
      <c r="A37" s="5" t="s">
        <v>264</v>
      </c>
      <c r="B37" s="6" t="s">
        <v>265</v>
      </c>
      <c r="C37" s="5" t="s">
        <v>112</v>
      </c>
      <c r="D37" s="5" t="s">
        <v>252</v>
      </c>
      <c r="E37" s="5" t="s">
        <v>253</v>
      </c>
      <c r="F37" s="5" t="s">
        <v>266</v>
      </c>
      <c r="G37" s="5" t="s">
        <v>267</v>
      </c>
      <c r="H37" s="5" t="s">
        <v>268</v>
      </c>
      <c r="I37" s="5" t="s">
        <v>269</v>
      </c>
      <c r="J37" s="5" t="s">
        <v>28</v>
      </c>
      <c r="K37" s="7" t="s">
        <v>29</v>
      </c>
      <c r="L37" s="8" t="s">
        <v>270</v>
      </c>
      <c r="M37" s="8" t="s">
        <v>271</v>
      </c>
      <c r="N37" s="9" t="s">
        <v>201</v>
      </c>
      <c r="O37" s="9" t="s">
        <v>272</v>
      </c>
      <c r="P37" s="9" t="s">
        <v>269</v>
      </c>
      <c r="Q37" s="9" t="s">
        <v>273</v>
      </c>
    </row>
    <row r="38" customFormat="false" ht="42" hidden="false" customHeight="true" outlineLevel="0" collapsed="false">
      <c r="A38" s="5" t="s">
        <v>250</v>
      </c>
      <c r="B38" s="6" t="s">
        <v>274</v>
      </c>
      <c r="C38" s="5" t="s">
        <v>275</v>
      </c>
      <c r="D38" s="5" t="s">
        <v>252</v>
      </c>
      <c r="E38" s="5" t="s">
        <v>253</v>
      </c>
      <c r="F38" s="5" t="s">
        <v>254</v>
      </c>
      <c r="G38" s="5" t="s">
        <v>255</v>
      </c>
      <c r="H38" s="5" t="s">
        <v>276</v>
      </c>
      <c r="I38" s="5" t="s">
        <v>257</v>
      </c>
      <c r="J38" s="5" t="s">
        <v>28</v>
      </c>
      <c r="K38" s="7" t="s">
        <v>29</v>
      </c>
      <c r="L38" s="8" t="s">
        <v>277</v>
      </c>
      <c r="M38" s="8" t="s">
        <v>278</v>
      </c>
      <c r="N38" s="9" t="s">
        <v>201</v>
      </c>
      <c r="O38" s="9" t="s">
        <v>261</v>
      </c>
      <c r="P38" s="9" t="s">
        <v>279</v>
      </c>
      <c r="Q38" s="9" t="s">
        <v>280</v>
      </c>
    </row>
    <row r="39" customFormat="false" ht="42" hidden="false" customHeight="true" outlineLevel="0" collapsed="false">
      <c r="A39" s="5" t="s">
        <v>250</v>
      </c>
      <c r="B39" s="6" t="s">
        <v>281</v>
      </c>
      <c r="C39" s="5" t="s">
        <v>282</v>
      </c>
      <c r="D39" s="5" t="s">
        <v>252</v>
      </c>
      <c r="E39" s="5" t="s">
        <v>253</v>
      </c>
      <c r="F39" s="5" t="s">
        <v>254</v>
      </c>
      <c r="G39" s="5" t="s">
        <v>255</v>
      </c>
      <c r="H39" s="5" t="s">
        <v>283</v>
      </c>
      <c r="I39" s="5" t="s">
        <v>257</v>
      </c>
      <c r="J39" s="5" t="s">
        <v>28</v>
      </c>
      <c r="K39" s="7" t="s">
        <v>29</v>
      </c>
      <c r="L39" s="8" t="s">
        <v>284</v>
      </c>
      <c r="M39" s="8" t="s">
        <v>285</v>
      </c>
      <c r="N39" s="9" t="s">
        <v>201</v>
      </c>
      <c r="O39" s="9" t="s">
        <v>261</v>
      </c>
      <c r="P39" s="9" t="s">
        <v>286</v>
      </c>
      <c r="Q39" s="9" t="s">
        <v>287</v>
      </c>
    </row>
    <row r="40" customFormat="false" ht="42" hidden="false" customHeight="true" outlineLevel="0" collapsed="false">
      <c r="A40" s="5" t="s">
        <v>250</v>
      </c>
      <c r="B40" s="6" t="s">
        <v>288</v>
      </c>
      <c r="C40" s="5" t="s">
        <v>73</v>
      </c>
      <c r="D40" s="5" t="s">
        <v>252</v>
      </c>
      <c r="E40" s="5" t="s">
        <v>253</v>
      </c>
      <c r="F40" s="5" t="s">
        <v>254</v>
      </c>
      <c r="G40" s="5" t="s">
        <v>255</v>
      </c>
      <c r="H40" s="5" t="s">
        <v>289</v>
      </c>
      <c r="I40" s="5" t="s">
        <v>257</v>
      </c>
      <c r="J40" s="5" t="s">
        <v>28</v>
      </c>
      <c r="K40" s="7" t="s">
        <v>29</v>
      </c>
      <c r="L40" s="8" t="s">
        <v>290</v>
      </c>
      <c r="M40" s="8" t="s">
        <v>291</v>
      </c>
      <c r="N40" s="9" t="s">
        <v>201</v>
      </c>
      <c r="O40" s="9" t="s">
        <v>261</v>
      </c>
      <c r="P40" s="9" t="s">
        <v>292</v>
      </c>
      <c r="Q40" s="9" t="s">
        <v>293</v>
      </c>
    </row>
    <row r="41" customFormat="false" ht="42" hidden="false" customHeight="true" outlineLevel="0" collapsed="false">
      <c r="A41" s="5" t="s">
        <v>250</v>
      </c>
      <c r="B41" s="6" t="s">
        <v>294</v>
      </c>
      <c r="C41" s="5" t="s">
        <v>295</v>
      </c>
      <c r="D41" s="5" t="s">
        <v>252</v>
      </c>
      <c r="E41" s="5" t="s">
        <v>253</v>
      </c>
      <c r="F41" s="5" t="s">
        <v>254</v>
      </c>
      <c r="G41" s="5" t="s">
        <v>255</v>
      </c>
      <c r="H41" s="5" t="s">
        <v>296</v>
      </c>
      <c r="I41" s="5" t="s">
        <v>257</v>
      </c>
      <c r="J41" s="5" t="s">
        <v>28</v>
      </c>
      <c r="K41" s="7" t="s">
        <v>29</v>
      </c>
      <c r="L41" s="8" t="s">
        <v>297</v>
      </c>
      <c r="M41" s="8" t="s">
        <v>298</v>
      </c>
      <c r="N41" s="9" t="s">
        <v>201</v>
      </c>
      <c r="O41" s="9" t="s">
        <v>261</v>
      </c>
      <c r="P41" s="9" t="s">
        <v>299</v>
      </c>
      <c r="Q41" s="9" t="s">
        <v>300</v>
      </c>
    </row>
    <row r="42" customFormat="false" ht="42" hidden="false" customHeight="true" outlineLevel="0" collapsed="false">
      <c r="A42" s="5" t="s">
        <v>250</v>
      </c>
      <c r="B42" s="6" t="s">
        <v>301</v>
      </c>
      <c r="C42" s="5" t="s">
        <v>302</v>
      </c>
      <c r="D42" s="5" t="s">
        <v>252</v>
      </c>
      <c r="E42" s="5" t="s">
        <v>253</v>
      </c>
      <c r="F42" s="5" t="s">
        <v>254</v>
      </c>
      <c r="G42" s="5" t="s">
        <v>255</v>
      </c>
      <c r="H42" s="5" t="s">
        <v>303</v>
      </c>
      <c r="I42" s="5" t="s">
        <v>257</v>
      </c>
      <c r="J42" s="5" t="s">
        <v>28</v>
      </c>
      <c r="K42" s="7" t="s">
        <v>29</v>
      </c>
      <c r="L42" s="8" t="s">
        <v>304</v>
      </c>
      <c r="M42" s="8" t="s">
        <v>305</v>
      </c>
      <c r="N42" s="9" t="s">
        <v>306</v>
      </c>
      <c r="O42" s="9" t="s">
        <v>261</v>
      </c>
      <c r="P42" s="9" t="s">
        <v>307</v>
      </c>
      <c r="Q42" s="9" t="s">
        <v>308</v>
      </c>
    </row>
    <row r="43" customFormat="false" ht="42" hidden="false" customHeight="true" outlineLevel="0" collapsed="false">
      <c r="A43" s="5" t="s">
        <v>309</v>
      </c>
      <c r="B43" s="6" t="s">
        <v>310</v>
      </c>
      <c r="C43" s="5" t="s">
        <v>112</v>
      </c>
      <c r="D43" s="5" t="s">
        <v>311</v>
      </c>
      <c r="E43" s="5" t="s">
        <v>253</v>
      </c>
      <c r="F43" s="5" t="s">
        <v>312</v>
      </c>
      <c r="G43" s="5" t="s">
        <v>267</v>
      </c>
      <c r="H43" s="5" t="s">
        <v>313</v>
      </c>
      <c r="I43" s="5" t="s">
        <v>314</v>
      </c>
      <c r="J43" s="5" t="s">
        <v>28</v>
      </c>
      <c r="K43" s="7" t="s">
        <v>29</v>
      </c>
      <c r="L43" s="8" t="s">
        <v>315</v>
      </c>
      <c r="M43" s="8" t="s">
        <v>316</v>
      </c>
      <c r="N43" s="9" t="s">
        <v>317</v>
      </c>
      <c r="O43" s="9" t="s">
        <v>318</v>
      </c>
      <c r="P43" s="9" t="s">
        <v>314</v>
      </c>
      <c r="Q43" s="9" t="s">
        <v>319</v>
      </c>
    </row>
    <row r="44" customFormat="false" ht="42" hidden="false" customHeight="true" outlineLevel="0" collapsed="false">
      <c r="A44" s="5" t="s">
        <v>309</v>
      </c>
      <c r="B44" s="6" t="s">
        <v>320</v>
      </c>
      <c r="C44" s="5" t="s">
        <v>112</v>
      </c>
      <c r="D44" s="5" t="s">
        <v>311</v>
      </c>
      <c r="E44" s="5" t="s">
        <v>253</v>
      </c>
      <c r="F44" s="5" t="s">
        <v>321</v>
      </c>
      <c r="G44" s="5" t="s">
        <v>267</v>
      </c>
      <c r="H44" s="5" t="s">
        <v>322</v>
      </c>
      <c r="I44" s="5" t="s">
        <v>323</v>
      </c>
      <c r="J44" s="5" t="s">
        <v>28</v>
      </c>
      <c r="K44" s="7" t="s">
        <v>29</v>
      </c>
      <c r="L44" s="8" t="s">
        <v>315</v>
      </c>
      <c r="M44" s="8" t="s">
        <v>316</v>
      </c>
      <c r="N44" s="9" t="s">
        <v>324</v>
      </c>
      <c r="O44" s="9" t="s">
        <v>318</v>
      </c>
      <c r="P44" s="9" t="s">
        <v>323</v>
      </c>
      <c r="Q44" s="9" t="s">
        <v>325</v>
      </c>
    </row>
    <row r="45" customFormat="false" ht="42" hidden="false" customHeight="true" outlineLevel="0" collapsed="false">
      <c r="A45" s="5" t="s">
        <v>309</v>
      </c>
      <c r="B45" s="6" t="s">
        <v>326</v>
      </c>
      <c r="C45" s="5" t="s">
        <v>112</v>
      </c>
      <c r="D45" s="5" t="s">
        <v>311</v>
      </c>
      <c r="E45" s="5" t="s">
        <v>253</v>
      </c>
      <c r="F45" s="5" t="s">
        <v>312</v>
      </c>
      <c r="G45" s="5" t="s">
        <v>267</v>
      </c>
      <c r="H45" s="5" t="s">
        <v>327</v>
      </c>
      <c r="I45" s="5" t="s">
        <v>328</v>
      </c>
      <c r="J45" s="5" t="s">
        <v>28</v>
      </c>
      <c r="K45" s="7" t="s">
        <v>29</v>
      </c>
      <c r="L45" s="8" t="s">
        <v>329</v>
      </c>
      <c r="M45" s="8" t="s">
        <v>330</v>
      </c>
      <c r="N45" s="9" t="s">
        <v>317</v>
      </c>
      <c r="O45" s="9" t="s">
        <v>318</v>
      </c>
      <c r="P45" s="9" t="s">
        <v>328</v>
      </c>
      <c r="Q45" s="9" t="s">
        <v>331</v>
      </c>
    </row>
    <row r="46" customFormat="false" ht="42" hidden="false" customHeight="true" outlineLevel="0" collapsed="false">
      <c r="A46" s="5" t="s">
        <v>332</v>
      </c>
      <c r="B46" s="6" t="s">
        <v>333</v>
      </c>
      <c r="C46" s="5" t="s">
        <v>334</v>
      </c>
      <c r="D46" s="5" t="s">
        <v>252</v>
      </c>
      <c r="E46" s="5" t="s">
        <v>253</v>
      </c>
      <c r="F46" s="5" t="s">
        <v>335</v>
      </c>
      <c r="G46" s="5" t="s">
        <v>336</v>
      </c>
      <c r="H46" s="5" t="s">
        <v>337</v>
      </c>
      <c r="I46" s="5" t="s">
        <v>257</v>
      </c>
      <c r="J46" s="5" t="s">
        <v>28</v>
      </c>
      <c r="K46" s="7" t="s">
        <v>29</v>
      </c>
      <c r="L46" s="8" t="s">
        <v>338</v>
      </c>
      <c r="M46" s="8" t="s">
        <v>339</v>
      </c>
      <c r="N46" s="9" t="s">
        <v>201</v>
      </c>
      <c r="O46" s="9" t="s">
        <v>272</v>
      </c>
      <c r="P46" s="9" t="s">
        <v>340</v>
      </c>
      <c r="Q46" s="9" t="s">
        <v>341</v>
      </c>
    </row>
    <row r="47" customFormat="false" ht="42" hidden="false" customHeight="true" outlineLevel="0" collapsed="false">
      <c r="A47" s="5" t="s">
        <v>250</v>
      </c>
      <c r="B47" s="6" t="s">
        <v>342</v>
      </c>
      <c r="C47" s="5" t="s">
        <v>343</v>
      </c>
      <c r="D47" s="5" t="s">
        <v>252</v>
      </c>
      <c r="E47" s="5" t="s">
        <v>253</v>
      </c>
      <c r="F47" s="5" t="s">
        <v>254</v>
      </c>
      <c r="G47" s="5" t="s">
        <v>255</v>
      </c>
      <c r="H47" s="5" t="s">
        <v>344</v>
      </c>
      <c r="I47" s="5" t="s">
        <v>257</v>
      </c>
      <c r="J47" s="5" t="s">
        <v>28</v>
      </c>
      <c r="K47" s="7" t="s">
        <v>29</v>
      </c>
      <c r="L47" s="8" t="s">
        <v>297</v>
      </c>
      <c r="M47" s="8" t="s">
        <v>298</v>
      </c>
      <c r="N47" s="9" t="s">
        <v>201</v>
      </c>
      <c r="O47" s="9" t="s">
        <v>261</v>
      </c>
      <c r="P47" s="9" t="s">
        <v>345</v>
      </c>
      <c r="Q47" s="9" t="s">
        <v>346</v>
      </c>
    </row>
    <row r="48" customFormat="false" ht="42" hidden="false" customHeight="true" outlineLevel="0" collapsed="false">
      <c r="A48" s="5" t="s">
        <v>250</v>
      </c>
      <c r="B48" s="6" t="s">
        <v>347</v>
      </c>
      <c r="C48" s="5" t="s">
        <v>183</v>
      </c>
      <c r="D48" s="5" t="s">
        <v>252</v>
      </c>
      <c r="E48" s="5" t="s">
        <v>253</v>
      </c>
      <c r="F48" s="5" t="s">
        <v>254</v>
      </c>
      <c r="G48" s="5" t="s">
        <v>255</v>
      </c>
      <c r="H48" s="5" t="s">
        <v>348</v>
      </c>
      <c r="I48" s="5" t="s">
        <v>257</v>
      </c>
      <c r="J48" s="5" t="s">
        <v>108</v>
      </c>
      <c r="K48" s="7" t="s">
        <v>29</v>
      </c>
      <c r="L48" s="8" t="s">
        <v>85</v>
      </c>
      <c r="M48" s="8" t="s">
        <v>85</v>
      </c>
      <c r="N48" s="9" t="s">
        <v>349</v>
      </c>
      <c r="O48" s="9" t="s">
        <v>350</v>
      </c>
      <c r="P48" s="9" t="s">
        <v>348</v>
      </c>
      <c r="Q48" s="9" t="s">
        <v>222</v>
      </c>
    </row>
    <row r="49" customFormat="false" ht="42" hidden="false" customHeight="true" outlineLevel="0" collapsed="false">
      <c r="A49" s="5" t="s">
        <v>351</v>
      </c>
      <c r="B49" s="6" t="s">
        <v>352</v>
      </c>
      <c r="C49" s="5" t="s">
        <v>55</v>
      </c>
      <c r="D49" s="5" t="s">
        <v>252</v>
      </c>
      <c r="E49" s="5" t="s">
        <v>253</v>
      </c>
      <c r="F49" s="5" t="s">
        <v>254</v>
      </c>
      <c r="G49" s="5" t="s">
        <v>255</v>
      </c>
      <c r="H49" s="5" t="s">
        <v>353</v>
      </c>
      <c r="I49" s="5" t="s">
        <v>257</v>
      </c>
      <c r="J49" s="5" t="s">
        <v>28</v>
      </c>
      <c r="K49" s="7" t="s">
        <v>29</v>
      </c>
      <c r="L49" s="8" t="s">
        <v>354</v>
      </c>
      <c r="M49" s="8" t="s">
        <v>355</v>
      </c>
      <c r="N49" s="9" t="s">
        <v>356</v>
      </c>
      <c r="O49" s="9" t="s">
        <v>272</v>
      </c>
      <c r="P49" s="9" t="s">
        <v>357</v>
      </c>
      <c r="Q49" s="9" t="s">
        <v>358</v>
      </c>
    </row>
    <row r="50" customFormat="false" ht="42" hidden="false" customHeight="true" outlineLevel="0" collapsed="false">
      <c r="A50" s="5" t="s">
        <v>359</v>
      </c>
      <c r="B50" s="6" t="s">
        <v>360</v>
      </c>
      <c r="C50" s="5" t="s">
        <v>361</v>
      </c>
      <c r="D50" s="5" t="s">
        <v>252</v>
      </c>
      <c r="E50" s="5" t="s">
        <v>253</v>
      </c>
      <c r="F50" s="5" t="s">
        <v>362</v>
      </c>
      <c r="G50" s="5" t="s">
        <v>363</v>
      </c>
      <c r="H50" s="5" t="s">
        <v>364</v>
      </c>
      <c r="I50" s="5" t="s">
        <v>257</v>
      </c>
      <c r="J50" s="5" t="s">
        <v>28</v>
      </c>
      <c r="K50" s="7" t="s">
        <v>29</v>
      </c>
      <c r="L50" s="8" t="s">
        <v>365</v>
      </c>
      <c r="M50" s="8" t="s">
        <v>366</v>
      </c>
      <c r="N50" s="9" t="s">
        <v>367</v>
      </c>
      <c r="O50" s="9" t="s">
        <v>77</v>
      </c>
      <c r="P50" s="9" t="s">
        <v>368</v>
      </c>
      <c r="Q50" s="9" t="s">
        <v>369</v>
      </c>
    </row>
    <row r="51" customFormat="false" ht="42" hidden="false" customHeight="true" outlineLevel="0" collapsed="false">
      <c r="A51" s="5" t="s">
        <v>250</v>
      </c>
      <c r="B51" s="6" t="s">
        <v>370</v>
      </c>
      <c r="C51" s="5" t="s">
        <v>112</v>
      </c>
      <c r="D51" s="5" t="s">
        <v>252</v>
      </c>
      <c r="E51" s="5" t="s">
        <v>253</v>
      </c>
      <c r="F51" s="5" t="s">
        <v>266</v>
      </c>
      <c r="G51" s="5" t="s">
        <v>267</v>
      </c>
      <c r="H51" s="5" t="s">
        <v>371</v>
      </c>
      <c r="I51" s="5" t="s">
        <v>372</v>
      </c>
      <c r="J51" s="5" t="s">
        <v>28</v>
      </c>
      <c r="K51" s="7" t="s">
        <v>29</v>
      </c>
      <c r="L51" s="8" t="s">
        <v>373</v>
      </c>
      <c r="M51" s="8" t="s">
        <v>374</v>
      </c>
      <c r="N51" s="9" t="s">
        <v>201</v>
      </c>
      <c r="O51" s="9" t="s">
        <v>261</v>
      </c>
      <c r="P51" s="9" t="s">
        <v>372</v>
      </c>
      <c r="Q51" s="9" t="s">
        <v>375</v>
      </c>
    </row>
    <row r="52" customFormat="false" ht="42" hidden="false" customHeight="true" outlineLevel="0" collapsed="false">
      <c r="A52" s="5" t="s">
        <v>264</v>
      </c>
      <c r="B52" s="6" t="s">
        <v>376</v>
      </c>
      <c r="C52" s="5" t="s">
        <v>377</v>
      </c>
      <c r="D52" s="5" t="s">
        <v>252</v>
      </c>
      <c r="E52" s="5" t="s">
        <v>253</v>
      </c>
      <c r="F52" s="5" t="s">
        <v>254</v>
      </c>
      <c r="G52" s="5" t="s">
        <v>255</v>
      </c>
      <c r="H52" s="5" t="s">
        <v>378</v>
      </c>
      <c r="I52" s="5" t="s">
        <v>257</v>
      </c>
      <c r="J52" s="5" t="s">
        <v>28</v>
      </c>
      <c r="K52" s="7" t="s">
        <v>29</v>
      </c>
      <c r="L52" s="8" t="s">
        <v>290</v>
      </c>
      <c r="M52" s="8" t="s">
        <v>379</v>
      </c>
      <c r="N52" s="9" t="s">
        <v>201</v>
      </c>
      <c r="O52" s="9" t="s">
        <v>261</v>
      </c>
      <c r="P52" s="9" t="s">
        <v>380</v>
      </c>
      <c r="Q52" s="9" t="s">
        <v>381</v>
      </c>
    </row>
    <row r="53" customFormat="false" ht="42" hidden="false" customHeight="true" outlineLevel="0" collapsed="false">
      <c r="A53" s="5" t="s">
        <v>351</v>
      </c>
      <c r="B53" s="6" t="s">
        <v>382</v>
      </c>
      <c r="C53" s="5" t="s">
        <v>383</v>
      </c>
      <c r="D53" s="5" t="s">
        <v>252</v>
      </c>
      <c r="E53" s="5" t="s">
        <v>253</v>
      </c>
      <c r="F53" s="5" t="s">
        <v>254</v>
      </c>
      <c r="G53" s="5" t="s">
        <v>255</v>
      </c>
      <c r="H53" s="5" t="s">
        <v>384</v>
      </c>
      <c r="I53" s="5" t="s">
        <v>257</v>
      </c>
      <c r="J53" s="5" t="s">
        <v>28</v>
      </c>
      <c r="K53" s="7" t="s">
        <v>29</v>
      </c>
      <c r="L53" s="8" t="s">
        <v>355</v>
      </c>
      <c r="M53" s="8" t="s">
        <v>385</v>
      </c>
      <c r="N53" s="9" t="s">
        <v>201</v>
      </c>
      <c r="O53" s="9" t="s">
        <v>261</v>
      </c>
      <c r="P53" s="9" t="s">
        <v>386</v>
      </c>
      <c r="Q53" s="9" t="s">
        <v>387</v>
      </c>
    </row>
    <row r="54" customFormat="false" ht="42" hidden="false" customHeight="true" outlineLevel="0" collapsed="false">
      <c r="A54" s="5" t="s">
        <v>388</v>
      </c>
      <c r="B54" s="6" t="s">
        <v>389</v>
      </c>
      <c r="C54" s="5" t="s">
        <v>112</v>
      </c>
      <c r="D54" s="5" t="s">
        <v>311</v>
      </c>
      <c r="E54" s="5" t="s">
        <v>390</v>
      </c>
      <c r="F54" s="5" t="s">
        <v>391</v>
      </c>
      <c r="G54" s="5" t="s">
        <v>392</v>
      </c>
      <c r="H54" s="5" t="s">
        <v>393</v>
      </c>
      <c r="I54" s="5" t="s">
        <v>394</v>
      </c>
      <c r="J54" s="5" t="s">
        <v>28</v>
      </c>
      <c r="K54" s="7" t="s">
        <v>29</v>
      </c>
      <c r="L54" s="8" t="s">
        <v>395</v>
      </c>
      <c r="M54" s="8" t="s">
        <v>396</v>
      </c>
      <c r="N54" s="9" t="s">
        <v>397</v>
      </c>
      <c r="O54" s="9" t="s">
        <v>398</v>
      </c>
      <c r="P54" s="9" t="s">
        <v>399</v>
      </c>
      <c r="Q54" s="9" t="s">
        <v>400</v>
      </c>
    </row>
    <row r="55" customFormat="false" ht="42" hidden="false" customHeight="true" outlineLevel="0" collapsed="false">
      <c r="A55" s="5" t="s">
        <v>388</v>
      </c>
      <c r="B55" s="6" t="s">
        <v>401</v>
      </c>
      <c r="C55" s="5" t="s">
        <v>112</v>
      </c>
      <c r="D55" s="5" t="s">
        <v>311</v>
      </c>
      <c r="E55" s="5" t="s">
        <v>390</v>
      </c>
      <c r="F55" s="5" t="s">
        <v>402</v>
      </c>
      <c r="G55" s="5" t="s">
        <v>392</v>
      </c>
      <c r="H55" s="5" t="s">
        <v>403</v>
      </c>
      <c r="I55" s="5" t="s">
        <v>404</v>
      </c>
      <c r="J55" s="5" t="s">
        <v>28</v>
      </c>
      <c r="K55" s="7" t="s">
        <v>29</v>
      </c>
      <c r="L55" s="8" t="s">
        <v>338</v>
      </c>
      <c r="M55" s="8" t="s">
        <v>259</v>
      </c>
      <c r="N55" s="9" t="s">
        <v>405</v>
      </c>
      <c r="O55" s="9" t="s">
        <v>406</v>
      </c>
      <c r="P55" s="9" t="s">
        <v>404</v>
      </c>
      <c r="Q55" s="9" t="s">
        <v>407</v>
      </c>
    </row>
    <row r="56" customFormat="false" ht="42" hidden="false" customHeight="true" outlineLevel="0" collapsed="false">
      <c r="A56" s="5" t="s">
        <v>388</v>
      </c>
      <c r="B56" s="6" t="s">
        <v>408</v>
      </c>
      <c r="C56" s="5" t="s">
        <v>112</v>
      </c>
      <c r="D56" s="5" t="s">
        <v>311</v>
      </c>
      <c r="E56" s="5" t="s">
        <v>390</v>
      </c>
      <c r="F56" s="5" t="s">
        <v>409</v>
      </c>
      <c r="G56" s="5" t="s">
        <v>392</v>
      </c>
      <c r="H56" s="5" t="s">
        <v>410</v>
      </c>
      <c r="I56" s="5" t="s">
        <v>411</v>
      </c>
      <c r="J56" s="5" t="s">
        <v>28</v>
      </c>
      <c r="K56" s="7" t="s">
        <v>29</v>
      </c>
      <c r="L56" s="8" t="s">
        <v>396</v>
      </c>
      <c r="M56" s="8" t="s">
        <v>412</v>
      </c>
      <c r="N56" s="9" t="s">
        <v>413</v>
      </c>
      <c r="O56" s="9" t="s">
        <v>398</v>
      </c>
      <c r="P56" s="9" t="s">
        <v>411</v>
      </c>
      <c r="Q56" s="9" t="s">
        <v>414</v>
      </c>
    </row>
    <row r="57" customFormat="false" ht="42" hidden="false" customHeight="true" outlineLevel="0" collapsed="false">
      <c r="A57" s="5" t="s">
        <v>388</v>
      </c>
      <c r="B57" s="6" t="s">
        <v>415</v>
      </c>
      <c r="C57" s="5" t="s">
        <v>112</v>
      </c>
      <c r="D57" s="5" t="s">
        <v>311</v>
      </c>
      <c r="E57" s="5" t="s">
        <v>390</v>
      </c>
      <c r="F57" s="5" t="s">
        <v>416</v>
      </c>
      <c r="G57" s="5" t="s">
        <v>392</v>
      </c>
      <c r="H57" s="5" t="s">
        <v>417</v>
      </c>
      <c r="I57" s="5" t="s">
        <v>418</v>
      </c>
      <c r="J57" s="5" t="s">
        <v>83</v>
      </c>
      <c r="K57" s="7" t="s">
        <v>29</v>
      </c>
      <c r="L57" s="8" t="s">
        <v>259</v>
      </c>
      <c r="M57" s="8" t="s">
        <v>419</v>
      </c>
      <c r="N57" s="9" t="s">
        <v>397</v>
      </c>
      <c r="O57" s="9" t="s">
        <v>398</v>
      </c>
      <c r="P57" s="9" t="s">
        <v>418</v>
      </c>
      <c r="Q57" s="9" t="s">
        <v>420</v>
      </c>
    </row>
    <row r="58" customFormat="false" ht="42" hidden="false" customHeight="true" outlineLevel="0" collapsed="false">
      <c r="A58" s="5" t="s">
        <v>388</v>
      </c>
      <c r="B58" s="6" t="s">
        <v>421</v>
      </c>
      <c r="C58" s="5" t="s">
        <v>275</v>
      </c>
      <c r="D58" s="5" t="s">
        <v>311</v>
      </c>
      <c r="E58" s="5" t="s">
        <v>390</v>
      </c>
      <c r="F58" s="5" t="s">
        <v>422</v>
      </c>
      <c r="G58" s="5" t="s">
        <v>392</v>
      </c>
      <c r="H58" s="5" t="s">
        <v>423</v>
      </c>
      <c r="I58" s="5" t="s">
        <v>424</v>
      </c>
      <c r="J58" s="5" t="s">
        <v>108</v>
      </c>
      <c r="K58" s="7" t="s">
        <v>29</v>
      </c>
      <c r="L58" s="8" t="s">
        <v>85</v>
      </c>
      <c r="M58" s="8" t="s">
        <v>85</v>
      </c>
      <c r="N58" s="9" t="s">
        <v>397</v>
      </c>
      <c r="O58" s="9" t="s">
        <v>350</v>
      </c>
      <c r="P58" s="9" t="s">
        <v>423</v>
      </c>
      <c r="Q58" s="9" t="s">
        <v>222</v>
      </c>
    </row>
    <row r="59" customFormat="false" ht="42" hidden="false" customHeight="true" outlineLevel="0" collapsed="false">
      <c r="A59" s="5" t="s">
        <v>388</v>
      </c>
      <c r="B59" s="6" t="s">
        <v>425</v>
      </c>
      <c r="C59" s="5" t="s">
        <v>302</v>
      </c>
      <c r="D59" s="5" t="s">
        <v>311</v>
      </c>
      <c r="E59" s="5" t="s">
        <v>390</v>
      </c>
      <c r="F59" s="5" t="s">
        <v>426</v>
      </c>
      <c r="G59" s="5" t="s">
        <v>392</v>
      </c>
      <c r="H59" s="5" t="s">
        <v>427</v>
      </c>
      <c r="I59" s="5" t="s">
        <v>428</v>
      </c>
      <c r="J59" s="5" t="s">
        <v>28</v>
      </c>
      <c r="K59" s="7" t="s">
        <v>29</v>
      </c>
      <c r="L59" s="8" t="s">
        <v>315</v>
      </c>
      <c r="M59" s="8" t="s">
        <v>297</v>
      </c>
      <c r="N59" s="9" t="s">
        <v>429</v>
      </c>
      <c r="O59" s="9" t="s">
        <v>430</v>
      </c>
      <c r="P59" s="9" t="s">
        <v>431</v>
      </c>
      <c r="Q59" s="9" t="s">
        <v>432</v>
      </c>
    </row>
    <row r="60" customFormat="false" ht="42" hidden="false" customHeight="true" outlineLevel="0" collapsed="false">
      <c r="A60" s="5" t="s">
        <v>388</v>
      </c>
      <c r="B60" s="6" t="s">
        <v>433</v>
      </c>
      <c r="C60" s="5" t="s">
        <v>112</v>
      </c>
      <c r="D60" s="5" t="s">
        <v>311</v>
      </c>
      <c r="E60" s="5" t="s">
        <v>390</v>
      </c>
      <c r="F60" s="5" t="s">
        <v>434</v>
      </c>
      <c r="G60" s="5" t="s">
        <v>392</v>
      </c>
      <c r="H60" s="5" t="s">
        <v>435</v>
      </c>
      <c r="I60" s="5" t="s">
        <v>436</v>
      </c>
      <c r="J60" s="5" t="s">
        <v>28</v>
      </c>
      <c r="K60" s="7" t="s">
        <v>29</v>
      </c>
      <c r="L60" s="8" t="s">
        <v>285</v>
      </c>
      <c r="M60" s="8" t="s">
        <v>437</v>
      </c>
      <c r="N60" s="9" t="s">
        <v>397</v>
      </c>
      <c r="O60" s="9" t="s">
        <v>398</v>
      </c>
      <c r="P60" s="9" t="s">
        <v>436</v>
      </c>
      <c r="Q60" s="9" t="s">
        <v>438</v>
      </c>
    </row>
    <row r="61" customFormat="false" ht="42" hidden="false" customHeight="true" outlineLevel="0" collapsed="false">
      <c r="A61" s="5" t="s">
        <v>388</v>
      </c>
      <c r="B61" s="6" t="s">
        <v>439</v>
      </c>
      <c r="C61" s="5" t="s">
        <v>241</v>
      </c>
      <c r="D61" s="5" t="s">
        <v>311</v>
      </c>
      <c r="E61" s="5" t="s">
        <v>390</v>
      </c>
      <c r="F61" s="5" t="s">
        <v>440</v>
      </c>
      <c r="G61" s="5" t="s">
        <v>392</v>
      </c>
      <c r="H61" s="5" t="s">
        <v>441</v>
      </c>
      <c r="I61" s="5" t="s">
        <v>442</v>
      </c>
      <c r="J61" s="5" t="s">
        <v>28</v>
      </c>
      <c r="K61" s="7" t="s">
        <v>29</v>
      </c>
      <c r="L61" s="8" t="s">
        <v>443</v>
      </c>
      <c r="M61" s="8" t="s">
        <v>396</v>
      </c>
      <c r="N61" s="9" t="s">
        <v>444</v>
      </c>
      <c r="O61" s="9" t="s">
        <v>398</v>
      </c>
      <c r="P61" s="9" t="s">
        <v>442</v>
      </c>
      <c r="Q61" s="9" t="s">
        <v>445</v>
      </c>
    </row>
    <row r="62" customFormat="false" ht="42" hidden="false" customHeight="true" outlineLevel="0" collapsed="false">
      <c r="A62" s="5" t="s">
        <v>388</v>
      </c>
      <c r="B62" s="6" t="s">
        <v>446</v>
      </c>
      <c r="C62" s="5" t="s">
        <v>447</v>
      </c>
      <c r="D62" s="5" t="s">
        <v>311</v>
      </c>
      <c r="E62" s="5" t="s">
        <v>390</v>
      </c>
      <c r="F62" s="5" t="s">
        <v>448</v>
      </c>
      <c r="G62" s="5" t="s">
        <v>392</v>
      </c>
      <c r="H62" s="5" t="s">
        <v>449</v>
      </c>
      <c r="I62" s="5" t="s">
        <v>411</v>
      </c>
      <c r="J62" s="5" t="s">
        <v>28</v>
      </c>
      <c r="K62" s="7" t="s">
        <v>29</v>
      </c>
      <c r="L62" s="8" t="s">
        <v>396</v>
      </c>
      <c r="M62" s="8" t="s">
        <v>412</v>
      </c>
      <c r="N62" s="9" t="s">
        <v>413</v>
      </c>
      <c r="O62" s="9" t="s">
        <v>398</v>
      </c>
      <c r="P62" s="9" t="s">
        <v>411</v>
      </c>
      <c r="Q62" s="9" t="s">
        <v>450</v>
      </c>
    </row>
    <row r="63" customFormat="false" ht="42" hidden="false" customHeight="true" outlineLevel="0" collapsed="false">
      <c r="A63" s="5" t="s">
        <v>388</v>
      </c>
      <c r="B63" s="6" t="s">
        <v>451</v>
      </c>
      <c r="C63" s="5" t="s">
        <v>112</v>
      </c>
      <c r="D63" s="5" t="s">
        <v>311</v>
      </c>
      <c r="E63" s="5" t="s">
        <v>390</v>
      </c>
      <c r="F63" s="5" t="s">
        <v>452</v>
      </c>
      <c r="G63" s="5" t="s">
        <v>392</v>
      </c>
      <c r="H63" s="5" t="s">
        <v>453</v>
      </c>
      <c r="I63" s="5" t="s">
        <v>454</v>
      </c>
      <c r="J63" s="5" t="s">
        <v>108</v>
      </c>
      <c r="K63" s="7" t="s">
        <v>29</v>
      </c>
      <c r="L63" s="8" t="s">
        <v>85</v>
      </c>
      <c r="M63" s="8" t="s">
        <v>85</v>
      </c>
      <c r="N63" s="9" t="s">
        <v>455</v>
      </c>
      <c r="O63" s="9" t="s">
        <v>456</v>
      </c>
      <c r="P63" s="9" t="s">
        <v>453</v>
      </c>
      <c r="Q63" s="9" t="s">
        <v>457</v>
      </c>
    </row>
    <row r="64" customFormat="false" ht="42" hidden="false" customHeight="true" outlineLevel="0" collapsed="false">
      <c r="A64" s="5" t="s">
        <v>388</v>
      </c>
      <c r="B64" s="6" t="s">
        <v>458</v>
      </c>
      <c r="C64" s="5" t="s">
        <v>112</v>
      </c>
      <c r="D64" s="5" t="s">
        <v>311</v>
      </c>
      <c r="E64" s="5" t="s">
        <v>390</v>
      </c>
      <c r="F64" s="5" t="s">
        <v>448</v>
      </c>
      <c r="G64" s="5" t="s">
        <v>392</v>
      </c>
      <c r="H64" s="5" t="s">
        <v>459</v>
      </c>
      <c r="I64" s="5" t="s">
        <v>411</v>
      </c>
      <c r="J64" s="5" t="s">
        <v>28</v>
      </c>
      <c r="K64" s="7" t="s">
        <v>29</v>
      </c>
      <c r="L64" s="8" t="s">
        <v>396</v>
      </c>
      <c r="M64" s="8" t="s">
        <v>412</v>
      </c>
      <c r="N64" s="9" t="s">
        <v>413</v>
      </c>
      <c r="O64" s="9" t="s">
        <v>398</v>
      </c>
      <c r="P64" s="9" t="s">
        <v>411</v>
      </c>
      <c r="Q64" s="9" t="s">
        <v>414</v>
      </c>
    </row>
    <row r="65" customFormat="false" ht="42" hidden="false" customHeight="true" outlineLevel="0" collapsed="false">
      <c r="A65" s="5" t="s">
        <v>388</v>
      </c>
      <c r="B65" s="6" t="s">
        <v>460</v>
      </c>
      <c r="C65" s="5" t="s">
        <v>112</v>
      </c>
      <c r="D65" s="5" t="s">
        <v>311</v>
      </c>
      <c r="E65" s="5" t="s">
        <v>390</v>
      </c>
      <c r="F65" s="5" t="s">
        <v>448</v>
      </c>
      <c r="G65" s="5" t="s">
        <v>392</v>
      </c>
      <c r="H65" s="5" t="s">
        <v>461</v>
      </c>
      <c r="I65" s="5" t="s">
        <v>411</v>
      </c>
      <c r="J65" s="5" t="s">
        <v>28</v>
      </c>
      <c r="K65" s="7" t="s">
        <v>29</v>
      </c>
      <c r="L65" s="8" t="s">
        <v>396</v>
      </c>
      <c r="M65" s="8" t="s">
        <v>412</v>
      </c>
      <c r="N65" s="9" t="s">
        <v>413</v>
      </c>
      <c r="O65" s="9" t="s">
        <v>398</v>
      </c>
      <c r="P65" s="9" t="s">
        <v>411</v>
      </c>
      <c r="Q65" s="9" t="s">
        <v>414</v>
      </c>
    </row>
    <row r="66" customFormat="false" ht="42" hidden="false" customHeight="true" outlineLevel="0" collapsed="false">
      <c r="A66" s="5" t="s">
        <v>462</v>
      </c>
      <c r="B66" s="6" t="s">
        <v>463</v>
      </c>
      <c r="C66" s="5" t="s">
        <v>464</v>
      </c>
      <c r="D66" s="5" t="s">
        <v>465</v>
      </c>
      <c r="E66" s="5" t="s">
        <v>466</v>
      </c>
      <c r="F66" s="5" t="s">
        <v>467</v>
      </c>
      <c r="G66" s="5" t="s">
        <v>468</v>
      </c>
      <c r="H66" s="5" t="s">
        <v>469</v>
      </c>
      <c r="I66" s="5" t="s">
        <v>470</v>
      </c>
      <c r="J66" s="5" t="s">
        <v>28</v>
      </c>
      <c r="K66" s="7" t="s">
        <v>29</v>
      </c>
      <c r="L66" s="8" t="s">
        <v>339</v>
      </c>
      <c r="M66" s="8" t="s">
        <v>298</v>
      </c>
      <c r="N66" s="9" t="s">
        <v>471</v>
      </c>
      <c r="O66" s="9" t="s">
        <v>472</v>
      </c>
      <c r="P66" s="9" t="s">
        <v>473</v>
      </c>
      <c r="Q66" s="9" t="s">
        <v>474</v>
      </c>
    </row>
    <row r="67" customFormat="false" ht="42" hidden="false" customHeight="true" outlineLevel="0" collapsed="false">
      <c r="A67" s="5" t="s">
        <v>462</v>
      </c>
      <c r="B67" s="6" t="s">
        <v>475</v>
      </c>
      <c r="C67" s="5" t="s">
        <v>73</v>
      </c>
      <c r="D67" s="5" t="s">
        <v>465</v>
      </c>
      <c r="E67" s="5" t="s">
        <v>466</v>
      </c>
      <c r="F67" s="5" t="s">
        <v>467</v>
      </c>
      <c r="G67" s="5" t="s">
        <v>468</v>
      </c>
      <c r="H67" s="5" t="s">
        <v>476</v>
      </c>
      <c r="I67" s="5" t="s">
        <v>470</v>
      </c>
      <c r="J67" s="5" t="s">
        <v>92</v>
      </c>
      <c r="K67" s="7" t="s">
        <v>29</v>
      </c>
      <c r="L67" s="8" t="s">
        <v>477</v>
      </c>
      <c r="M67" s="8" t="s">
        <v>316</v>
      </c>
      <c r="N67" s="9" t="s">
        <v>471</v>
      </c>
      <c r="O67" s="9" t="s">
        <v>478</v>
      </c>
      <c r="P67" s="9" t="s">
        <v>479</v>
      </c>
      <c r="Q67" s="9" t="s">
        <v>480</v>
      </c>
    </row>
    <row r="68" customFormat="false" ht="42" hidden="false" customHeight="true" outlineLevel="0" collapsed="false">
      <c r="A68" s="5" t="s">
        <v>462</v>
      </c>
      <c r="B68" s="6" t="s">
        <v>481</v>
      </c>
      <c r="C68" s="5" t="s">
        <v>112</v>
      </c>
      <c r="D68" s="5" t="s">
        <v>465</v>
      </c>
      <c r="E68" s="5" t="s">
        <v>466</v>
      </c>
      <c r="F68" s="5" t="s">
        <v>467</v>
      </c>
      <c r="G68" s="5" t="s">
        <v>468</v>
      </c>
      <c r="H68" s="5" t="s">
        <v>482</v>
      </c>
      <c r="I68" s="5" t="s">
        <v>470</v>
      </c>
      <c r="J68" s="5" t="s">
        <v>108</v>
      </c>
      <c r="K68" s="7" t="s">
        <v>29</v>
      </c>
      <c r="L68" s="8" t="s">
        <v>85</v>
      </c>
      <c r="M68" s="8" t="s">
        <v>85</v>
      </c>
      <c r="N68" s="9" t="s">
        <v>483</v>
      </c>
      <c r="O68" s="9" t="s">
        <v>109</v>
      </c>
      <c r="P68" s="9" t="s">
        <v>482</v>
      </c>
      <c r="Q68" s="9" t="s">
        <v>484</v>
      </c>
    </row>
    <row r="69" customFormat="false" ht="42" hidden="false" customHeight="true" outlineLevel="0" collapsed="false">
      <c r="A69" s="5" t="s">
        <v>462</v>
      </c>
      <c r="B69" s="6" t="s">
        <v>485</v>
      </c>
      <c r="C69" s="5" t="s">
        <v>112</v>
      </c>
      <c r="D69" s="5" t="s">
        <v>465</v>
      </c>
      <c r="E69" s="5" t="s">
        <v>466</v>
      </c>
      <c r="F69" s="5" t="s">
        <v>467</v>
      </c>
      <c r="G69" s="5" t="s">
        <v>468</v>
      </c>
      <c r="H69" s="5" t="s">
        <v>486</v>
      </c>
      <c r="I69" s="5" t="s">
        <v>470</v>
      </c>
      <c r="J69" s="5" t="s">
        <v>108</v>
      </c>
      <c r="K69" s="7" t="s">
        <v>29</v>
      </c>
      <c r="L69" s="8" t="s">
        <v>85</v>
      </c>
      <c r="M69" s="8" t="s">
        <v>85</v>
      </c>
      <c r="N69" s="9" t="s">
        <v>483</v>
      </c>
      <c r="O69" s="9" t="s">
        <v>109</v>
      </c>
      <c r="P69" s="9" t="s">
        <v>486</v>
      </c>
      <c r="Q69" s="9" t="s">
        <v>484</v>
      </c>
    </row>
    <row r="70" customFormat="false" ht="42" hidden="false" customHeight="true" outlineLevel="0" collapsed="false">
      <c r="A70" s="5" t="s">
        <v>462</v>
      </c>
      <c r="B70" s="6" t="s">
        <v>487</v>
      </c>
      <c r="C70" s="5" t="s">
        <v>154</v>
      </c>
      <c r="D70" s="5" t="s">
        <v>465</v>
      </c>
      <c r="E70" s="5" t="s">
        <v>466</v>
      </c>
      <c r="F70" s="5" t="s">
        <v>467</v>
      </c>
      <c r="G70" s="5" t="s">
        <v>468</v>
      </c>
      <c r="H70" s="5" t="s">
        <v>488</v>
      </c>
      <c r="I70" s="5" t="s">
        <v>470</v>
      </c>
      <c r="J70" s="5" t="s">
        <v>108</v>
      </c>
      <c r="K70" s="7" t="s">
        <v>29</v>
      </c>
      <c r="L70" s="8" t="s">
        <v>85</v>
      </c>
      <c r="M70" s="8" t="s">
        <v>85</v>
      </c>
      <c r="N70" s="9" t="s">
        <v>483</v>
      </c>
      <c r="O70" s="9" t="s">
        <v>109</v>
      </c>
      <c r="P70" s="9" t="s">
        <v>488</v>
      </c>
      <c r="Q70" s="9" t="s">
        <v>484</v>
      </c>
    </row>
    <row r="71" customFormat="false" ht="42" hidden="false" customHeight="true" outlineLevel="0" collapsed="false">
      <c r="A71" s="5" t="s">
        <v>462</v>
      </c>
      <c r="B71" s="6" t="s">
        <v>489</v>
      </c>
      <c r="C71" s="5" t="s">
        <v>112</v>
      </c>
      <c r="D71" s="5" t="s">
        <v>465</v>
      </c>
      <c r="E71" s="5" t="s">
        <v>466</v>
      </c>
      <c r="F71" s="5" t="s">
        <v>467</v>
      </c>
      <c r="G71" s="5" t="s">
        <v>468</v>
      </c>
      <c r="H71" s="5" t="s">
        <v>490</v>
      </c>
      <c r="I71" s="5" t="s">
        <v>470</v>
      </c>
      <c r="J71" s="5" t="s">
        <v>28</v>
      </c>
      <c r="K71" s="7" t="s">
        <v>29</v>
      </c>
      <c r="L71" s="8" t="s">
        <v>304</v>
      </c>
      <c r="M71" s="8" t="s">
        <v>285</v>
      </c>
      <c r="N71" s="9" t="s">
        <v>471</v>
      </c>
      <c r="O71" s="9" t="s">
        <v>491</v>
      </c>
      <c r="P71" s="9" t="s">
        <v>492</v>
      </c>
      <c r="Q71" s="9" t="s">
        <v>493</v>
      </c>
    </row>
    <row r="72" customFormat="false" ht="42" hidden="false" customHeight="true" outlineLevel="0" collapsed="false">
      <c r="A72" s="5" t="s">
        <v>462</v>
      </c>
      <c r="B72" s="6" t="s">
        <v>494</v>
      </c>
      <c r="C72" s="5" t="s">
        <v>275</v>
      </c>
      <c r="D72" s="5" t="s">
        <v>465</v>
      </c>
      <c r="E72" s="5" t="s">
        <v>466</v>
      </c>
      <c r="F72" s="5" t="s">
        <v>467</v>
      </c>
      <c r="G72" s="5" t="s">
        <v>468</v>
      </c>
      <c r="H72" s="5" t="s">
        <v>495</v>
      </c>
      <c r="I72" s="5" t="s">
        <v>470</v>
      </c>
      <c r="J72" s="5" t="s">
        <v>92</v>
      </c>
      <c r="K72" s="7" t="s">
        <v>29</v>
      </c>
      <c r="L72" s="8" t="s">
        <v>285</v>
      </c>
      <c r="M72" s="8" t="s">
        <v>385</v>
      </c>
      <c r="N72" s="9" t="s">
        <v>471</v>
      </c>
      <c r="O72" s="9" t="s">
        <v>478</v>
      </c>
      <c r="P72" s="9" t="s">
        <v>496</v>
      </c>
      <c r="Q72" s="9" t="s">
        <v>497</v>
      </c>
    </row>
    <row r="73" customFormat="false" ht="42" hidden="false" customHeight="true" outlineLevel="0" collapsed="false">
      <c r="A73" s="5" t="s">
        <v>462</v>
      </c>
      <c r="B73" s="6" t="s">
        <v>498</v>
      </c>
      <c r="C73" s="5" t="s">
        <v>499</v>
      </c>
      <c r="D73" s="5" t="s">
        <v>465</v>
      </c>
      <c r="E73" s="5" t="s">
        <v>466</v>
      </c>
      <c r="F73" s="5" t="s">
        <v>467</v>
      </c>
      <c r="G73" s="5" t="s">
        <v>468</v>
      </c>
      <c r="H73" s="5" t="s">
        <v>500</v>
      </c>
      <c r="I73" s="5" t="s">
        <v>470</v>
      </c>
      <c r="J73" s="5" t="s">
        <v>108</v>
      </c>
      <c r="K73" s="7" t="s">
        <v>29</v>
      </c>
      <c r="L73" s="8" t="s">
        <v>85</v>
      </c>
      <c r="M73" s="8" t="s">
        <v>85</v>
      </c>
      <c r="N73" s="9" t="s">
        <v>483</v>
      </c>
      <c r="O73" s="9" t="s">
        <v>109</v>
      </c>
      <c r="P73" s="9" t="s">
        <v>500</v>
      </c>
      <c r="Q73" s="9" t="s">
        <v>484</v>
      </c>
    </row>
    <row r="74" customFormat="false" ht="42" hidden="false" customHeight="true" outlineLevel="0" collapsed="false">
      <c r="A74" s="5" t="s">
        <v>462</v>
      </c>
      <c r="B74" s="6" t="s">
        <v>501</v>
      </c>
      <c r="C74" s="5" t="s">
        <v>211</v>
      </c>
      <c r="D74" s="5" t="s">
        <v>465</v>
      </c>
      <c r="E74" s="5" t="s">
        <v>466</v>
      </c>
      <c r="F74" s="5" t="s">
        <v>467</v>
      </c>
      <c r="G74" s="5" t="s">
        <v>468</v>
      </c>
      <c r="H74" s="5" t="s">
        <v>502</v>
      </c>
      <c r="I74" s="5" t="s">
        <v>470</v>
      </c>
      <c r="J74" s="5" t="s">
        <v>108</v>
      </c>
      <c r="K74" s="7" t="s">
        <v>29</v>
      </c>
      <c r="L74" s="8" t="s">
        <v>85</v>
      </c>
      <c r="M74" s="8" t="s">
        <v>85</v>
      </c>
      <c r="N74" s="9" t="s">
        <v>483</v>
      </c>
      <c r="O74" s="9" t="s">
        <v>109</v>
      </c>
      <c r="P74" s="9" t="s">
        <v>502</v>
      </c>
      <c r="Q74" s="9" t="s">
        <v>484</v>
      </c>
    </row>
    <row r="75" customFormat="false" ht="42" hidden="false" customHeight="true" outlineLevel="0" collapsed="false">
      <c r="A75" s="5" t="s">
        <v>462</v>
      </c>
      <c r="B75" s="6" t="s">
        <v>503</v>
      </c>
      <c r="C75" s="5" t="s">
        <v>504</v>
      </c>
      <c r="D75" s="5" t="s">
        <v>465</v>
      </c>
      <c r="E75" s="5" t="s">
        <v>466</v>
      </c>
      <c r="F75" s="5" t="s">
        <v>467</v>
      </c>
      <c r="G75" s="5" t="s">
        <v>468</v>
      </c>
      <c r="H75" s="5" t="s">
        <v>505</v>
      </c>
      <c r="I75" s="5" t="s">
        <v>470</v>
      </c>
      <c r="J75" s="5" t="s">
        <v>108</v>
      </c>
      <c r="K75" s="7" t="s">
        <v>29</v>
      </c>
      <c r="L75" s="8" t="s">
        <v>85</v>
      </c>
      <c r="M75" s="8" t="s">
        <v>85</v>
      </c>
      <c r="N75" s="9" t="s">
        <v>483</v>
      </c>
      <c r="O75" s="9" t="s">
        <v>109</v>
      </c>
      <c r="P75" s="9" t="s">
        <v>505</v>
      </c>
      <c r="Q75" s="9" t="s">
        <v>484</v>
      </c>
    </row>
    <row r="76" customFormat="false" ht="42" hidden="false" customHeight="true" outlineLevel="0" collapsed="false">
      <c r="A76" s="5" t="s">
        <v>462</v>
      </c>
      <c r="B76" s="6" t="s">
        <v>506</v>
      </c>
      <c r="C76" s="5" t="s">
        <v>241</v>
      </c>
      <c r="D76" s="5" t="s">
        <v>465</v>
      </c>
      <c r="E76" s="5" t="s">
        <v>466</v>
      </c>
      <c r="F76" s="5" t="s">
        <v>467</v>
      </c>
      <c r="G76" s="5" t="s">
        <v>468</v>
      </c>
      <c r="H76" s="5" t="s">
        <v>507</v>
      </c>
      <c r="I76" s="5" t="s">
        <v>470</v>
      </c>
      <c r="J76" s="5" t="s">
        <v>28</v>
      </c>
      <c r="K76" s="7" t="s">
        <v>29</v>
      </c>
      <c r="L76" s="8" t="s">
        <v>339</v>
      </c>
      <c r="M76" s="8" t="s">
        <v>298</v>
      </c>
      <c r="N76" s="9" t="s">
        <v>508</v>
      </c>
      <c r="O76" s="9" t="s">
        <v>509</v>
      </c>
      <c r="P76" s="9" t="s">
        <v>510</v>
      </c>
      <c r="Q76" s="9" t="s">
        <v>511</v>
      </c>
    </row>
    <row r="77" customFormat="false" ht="42" hidden="false" customHeight="true" outlineLevel="0" collapsed="false">
      <c r="A77" s="5" t="s">
        <v>462</v>
      </c>
      <c r="B77" s="6" t="s">
        <v>512</v>
      </c>
      <c r="C77" s="5" t="s">
        <v>383</v>
      </c>
      <c r="D77" s="5" t="s">
        <v>465</v>
      </c>
      <c r="E77" s="5" t="s">
        <v>466</v>
      </c>
      <c r="F77" s="5" t="s">
        <v>467</v>
      </c>
      <c r="G77" s="5" t="s">
        <v>468</v>
      </c>
      <c r="H77" s="5" t="s">
        <v>513</v>
      </c>
      <c r="I77" s="5" t="s">
        <v>470</v>
      </c>
      <c r="J77" s="5" t="s">
        <v>108</v>
      </c>
      <c r="K77" s="7" t="s">
        <v>29</v>
      </c>
      <c r="L77" s="8" t="s">
        <v>85</v>
      </c>
      <c r="M77" s="8" t="s">
        <v>85</v>
      </c>
      <c r="N77" s="9" t="s">
        <v>483</v>
      </c>
      <c r="O77" s="9" t="s">
        <v>109</v>
      </c>
      <c r="P77" s="9" t="s">
        <v>513</v>
      </c>
      <c r="Q77" s="9" t="s">
        <v>484</v>
      </c>
    </row>
    <row r="78" customFormat="false" ht="42" hidden="false" customHeight="true" outlineLevel="0" collapsed="false">
      <c r="A78" s="5" t="s">
        <v>514</v>
      </c>
      <c r="B78" s="6" t="s">
        <v>515</v>
      </c>
      <c r="C78" s="5" t="s">
        <v>516</v>
      </c>
      <c r="D78" s="5" t="s">
        <v>465</v>
      </c>
      <c r="E78" s="5" t="s">
        <v>517</v>
      </c>
      <c r="F78" s="5" t="s">
        <v>518</v>
      </c>
      <c r="G78" s="5" t="s">
        <v>519</v>
      </c>
      <c r="H78" s="5" t="s">
        <v>470</v>
      </c>
      <c r="I78" s="5" t="s">
        <v>470</v>
      </c>
      <c r="J78" s="5" t="s">
        <v>108</v>
      </c>
      <c r="K78" s="7" t="s">
        <v>29</v>
      </c>
      <c r="L78" s="8" t="s">
        <v>520</v>
      </c>
      <c r="M78" s="8" t="s">
        <v>520</v>
      </c>
      <c r="N78" s="9" t="s">
        <v>521</v>
      </c>
      <c r="O78" s="9" t="s">
        <v>522</v>
      </c>
      <c r="P78" s="9" t="s">
        <v>470</v>
      </c>
      <c r="Q78" s="9" t="s">
        <v>523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5" min="4" style="0" width="18"/>
    <col collapsed="false" customWidth="true" hidden="false" outlineLevel="0" max="6" min="6" style="0" width="42"/>
    <col collapsed="false" customWidth="true" hidden="false" outlineLevel="0" max="7" min="7" style="0" width="70"/>
    <col collapsed="false" customWidth="true" hidden="false" outlineLevel="0" max="8" min="8" style="0" width="44"/>
    <col collapsed="false" customWidth="true" hidden="false" outlineLevel="0" max="9" min="9" style="0" width="14"/>
  </cols>
  <sheetData>
    <row r="1" customFormat="false" ht="32" hidden="false" customHeight="true" outlineLevel="0" collapsed="false">
      <c r="A1" s="1" t="s">
        <v>524</v>
      </c>
      <c r="B1" s="1"/>
      <c r="C1" s="1"/>
      <c r="D1" s="1"/>
      <c r="E1" s="1"/>
      <c r="F1" s="1"/>
      <c r="G1" s="1"/>
      <c r="H1" s="1"/>
      <c r="I1" s="1"/>
    </row>
    <row r="2" customFormat="false" ht="34" hidden="false" customHeight="true" outlineLevel="0" collapsed="false">
      <c r="A2" s="2" t="s">
        <v>525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3" t="s">
        <v>526</v>
      </c>
      <c r="B3" s="3" t="s">
        <v>2</v>
      </c>
      <c r="C3" s="3" t="s">
        <v>527</v>
      </c>
      <c r="D3" s="3" t="s">
        <v>528</v>
      </c>
      <c r="E3" s="3" t="s">
        <v>529</v>
      </c>
      <c r="F3" s="3" t="s">
        <v>530</v>
      </c>
      <c r="G3" s="3" t="s">
        <v>531</v>
      </c>
      <c r="H3" s="3" t="s">
        <v>532</v>
      </c>
      <c r="I3" s="3" t="s">
        <v>12</v>
      </c>
    </row>
    <row r="4" customFormat="false" ht="42" hidden="false" customHeight="true" outlineLevel="0" collapsed="false">
      <c r="A4" s="5" t="s">
        <v>533</v>
      </c>
      <c r="B4" s="5" t="s">
        <v>534</v>
      </c>
      <c r="C4" s="5" t="s">
        <v>535</v>
      </c>
      <c r="D4" s="10" t="n">
        <v>789</v>
      </c>
      <c r="E4" s="10" t="n">
        <v>908</v>
      </c>
      <c r="F4" s="5" t="s">
        <v>536</v>
      </c>
      <c r="G4" s="5" t="s">
        <v>537</v>
      </c>
      <c r="H4" s="5" t="s">
        <v>538</v>
      </c>
      <c r="I4" s="7" t="s">
        <v>29</v>
      </c>
    </row>
    <row r="5" customFormat="false" ht="42" hidden="false" customHeight="true" outlineLevel="0" collapsed="false">
      <c r="A5" s="5" t="s">
        <v>533</v>
      </c>
      <c r="B5" s="5" t="s">
        <v>539</v>
      </c>
      <c r="C5" s="5" t="s">
        <v>540</v>
      </c>
      <c r="D5" s="10" t="n">
        <v>410</v>
      </c>
      <c r="E5" s="10" t="n">
        <v>472</v>
      </c>
      <c r="F5" s="5" t="s">
        <v>536</v>
      </c>
      <c r="G5" s="5" t="s">
        <v>537</v>
      </c>
      <c r="H5" s="5" t="s">
        <v>538</v>
      </c>
      <c r="I5" s="7" t="s">
        <v>29</v>
      </c>
    </row>
    <row r="6" customFormat="false" ht="42" hidden="false" customHeight="true" outlineLevel="0" collapsed="false">
      <c r="A6" s="5" t="s">
        <v>533</v>
      </c>
      <c r="B6" s="5" t="s">
        <v>541</v>
      </c>
      <c r="C6" s="5" t="s">
        <v>542</v>
      </c>
      <c r="D6" s="10" t="n">
        <v>631</v>
      </c>
      <c r="E6" s="10" t="n">
        <v>726</v>
      </c>
      <c r="F6" s="5" t="s">
        <v>536</v>
      </c>
      <c r="G6" s="5" t="s">
        <v>537</v>
      </c>
      <c r="H6" s="5" t="s">
        <v>538</v>
      </c>
      <c r="I6" s="7" t="s">
        <v>29</v>
      </c>
    </row>
    <row r="7" customFormat="false" ht="42" hidden="false" customHeight="true" outlineLevel="0" collapsed="false">
      <c r="A7" s="5" t="s">
        <v>533</v>
      </c>
      <c r="B7" s="5" t="s">
        <v>543</v>
      </c>
      <c r="C7" s="5" t="s">
        <v>544</v>
      </c>
      <c r="D7" s="10" t="n">
        <v>710</v>
      </c>
      <c r="E7" s="10" t="n">
        <v>817</v>
      </c>
      <c r="F7" s="5" t="s">
        <v>536</v>
      </c>
      <c r="G7" s="5" t="s">
        <v>537</v>
      </c>
      <c r="H7" s="5" t="s">
        <v>538</v>
      </c>
      <c r="I7" s="7" t="s">
        <v>29</v>
      </c>
    </row>
    <row r="8" customFormat="false" ht="42" hidden="false" customHeight="true" outlineLevel="0" collapsed="false">
      <c r="A8" s="5" t="s">
        <v>533</v>
      </c>
      <c r="B8" s="5" t="s">
        <v>545</v>
      </c>
      <c r="C8" s="5" t="s">
        <v>546</v>
      </c>
      <c r="D8" s="10" t="n">
        <v>750</v>
      </c>
      <c r="E8" s="10" t="n">
        <v>862</v>
      </c>
      <c r="F8" s="5" t="s">
        <v>536</v>
      </c>
      <c r="G8" s="5" t="s">
        <v>537</v>
      </c>
      <c r="H8" s="5" t="s">
        <v>538</v>
      </c>
      <c r="I8" s="7" t="s">
        <v>29</v>
      </c>
    </row>
    <row r="9" customFormat="false" ht="42" hidden="false" customHeight="true" outlineLevel="0" collapsed="false">
      <c r="A9" s="5" t="s">
        <v>533</v>
      </c>
      <c r="B9" s="5" t="s">
        <v>547</v>
      </c>
      <c r="C9" s="5" t="s">
        <v>548</v>
      </c>
      <c r="D9" s="10" t="n">
        <v>592</v>
      </c>
      <c r="E9" s="10" t="n">
        <v>681</v>
      </c>
      <c r="F9" s="5" t="s">
        <v>536</v>
      </c>
      <c r="G9" s="5" t="s">
        <v>537</v>
      </c>
      <c r="H9" s="5" t="s">
        <v>538</v>
      </c>
      <c r="I9" s="7" t="s">
        <v>29</v>
      </c>
    </row>
    <row r="10" customFormat="false" ht="42" hidden="false" customHeight="true" outlineLevel="0" collapsed="false">
      <c r="A10" s="5" t="s">
        <v>549</v>
      </c>
      <c r="B10" s="5" t="s">
        <v>534</v>
      </c>
      <c r="C10" s="5" t="s">
        <v>550</v>
      </c>
      <c r="D10" s="10" t="n">
        <v>789</v>
      </c>
      <c r="E10" s="10" t="n">
        <v>908</v>
      </c>
      <c r="F10" s="5" t="s">
        <v>536</v>
      </c>
      <c r="G10" s="5" t="s">
        <v>537</v>
      </c>
      <c r="H10" s="5" t="s">
        <v>538</v>
      </c>
      <c r="I10" s="7" t="s">
        <v>29</v>
      </c>
    </row>
    <row r="11" customFormat="false" ht="42" hidden="false" customHeight="true" outlineLevel="0" collapsed="false">
      <c r="A11" s="5" t="s">
        <v>549</v>
      </c>
      <c r="B11" s="5" t="s">
        <v>539</v>
      </c>
      <c r="C11" s="5" t="s">
        <v>551</v>
      </c>
      <c r="D11" s="10" t="n">
        <v>155</v>
      </c>
      <c r="E11" s="10" t="n">
        <v>178</v>
      </c>
      <c r="F11" s="5" t="s">
        <v>536</v>
      </c>
      <c r="G11" s="5" t="s">
        <v>537</v>
      </c>
      <c r="H11" s="5" t="s">
        <v>538</v>
      </c>
      <c r="I11" s="7" t="s">
        <v>29</v>
      </c>
    </row>
    <row r="12" customFormat="false" ht="42" hidden="false" customHeight="true" outlineLevel="0" collapsed="false">
      <c r="A12" s="5" t="s">
        <v>549</v>
      </c>
      <c r="B12" s="5" t="s">
        <v>541</v>
      </c>
      <c r="C12" s="5" t="s">
        <v>552</v>
      </c>
      <c r="D12" s="10" t="n">
        <v>389</v>
      </c>
      <c r="E12" s="10" t="n">
        <v>447</v>
      </c>
      <c r="F12" s="5" t="s">
        <v>536</v>
      </c>
      <c r="G12" s="5" t="s">
        <v>537</v>
      </c>
      <c r="H12" s="5" t="s">
        <v>538</v>
      </c>
      <c r="I12" s="7" t="s">
        <v>29</v>
      </c>
    </row>
    <row r="13" customFormat="false" ht="42" hidden="false" customHeight="true" outlineLevel="0" collapsed="false">
      <c r="A13" s="5" t="s">
        <v>549</v>
      </c>
      <c r="B13" s="5" t="s">
        <v>543</v>
      </c>
      <c r="C13" s="5" t="s">
        <v>553</v>
      </c>
      <c r="D13" s="10" t="n">
        <v>511</v>
      </c>
      <c r="E13" s="10" t="n">
        <v>588</v>
      </c>
      <c r="F13" s="5" t="s">
        <v>536</v>
      </c>
      <c r="G13" s="5" t="s">
        <v>537</v>
      </c>
      <c r="H13" s="5" t="s">
        <v>538</v>
      </c>
      <c r="I13" s="7" t="s">
        <v>29</v>
      </c>
    </row>
    <row r="14" customFormat="false" ht="42" hidden="false" customHeight="true" outlineLevel="0" collapsed="false">
      <c r="A14" s="5" t="s">
        <v>554</v>
      </c>
      <c r="B14" s="5" t="s">
        <v>555</v>
      </c>
      <c r="C14" s="5" t="s">
        <v>556</v>
      </c>
      <c r="D14" s="10" t="n">
        <v>3</v>
      </c>
      <c r="E14" s="10" t="n">
        <v>3</v>
      </c>
      <c r="F14" s="5" t="s">
        <v>557</v>
      </c>
      <c r="G14" s="5" t="s">
        <v>558</v>
      </c>
      <c r="H14" s="5" t="s">
        <v>538</v>
      </c>
      <c r="I14" s="7" t="s">
        <v>29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31"/>
    <col collapsed="false" customWidth="true" hidden="false" outlineLevel="0" max="10" min="5" style="0" width="15"/>
    <col collapsed="false" customWidth="true" hidden="false" outlineLevel="0" max="11" min="11" style="0" width="59"/>
    <col collapsed="false" customWidth="true" hidden="false" outlineLevel="0" max="12" min="12" style="0" width="19"/>
    <col collapsed="false" customWidth="true" hidden="false" outlineLevel="0" max="13" min="13" style="0" width="54"/>
    <col collapsed="false" customWidth="true" hidden="false" outlineLevel="0" max="14" min="14" style="0" width="36"/>
  </cols>
  <sheetData>
    <row r="1" customFormat="false" ht="32" hidden="false" customHeight="true" outlineLevel="0" collapsed="false">
      <c r="A1" s="1" t="s">
        <v>559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4" hidden="false" customHeight="true" outlineLevel="0" collapsed="false">
      <c r="A2" s="2" t="s">
        <v>560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2" hidden="false" customHeight="true" outlineLevel="0" collapsed="false">
      <c r="A3" s="11" t="s">
        <v>561</v>
      </c>
      <c r="B3" s="11" t="s">
        <v>2</v>
      </c>
      <c r="C3" s="11" t="s">
        <v>562</v>
      </c>
      <c r="D3" s="11" t="s">
        <v>563</v>
      </c>
      <c r="E3" s="11" t="s">
        <v>564</v>
      </c>
      <c r="F3" s="11" t="s">
        <v>565</v>
      </c>
      <c r="G3" s="11" t="s">
        <v>566</v>
      </c>
      <c r="H3" s="11" t="s">
        <v>567</v>
      </c>
      <c r="I3" s="11" t="s">
        <v>568</v>
      </c>
      <c r="J3" s="11" t="s">
        <v>569</v>
      </c>
      <c r="K3" s="11" t="s">
        <v>570</v>
      </c>
      <c r="L3" s="11" t="s">
        <v>571</v>
      </c>
      <c r="M3" s="11" t="s">
        <v>572</v>
      </c>
      <c r="N3" s="11" t="s">
        <v>573</v>
      </c>
    </row>
    <row r="4" customFormat="false" ht="42" hidden="false" customHeight="true" outlineLevel="0" collapsed="false">
      <c r="A4" s="5" t="s">
        <v>310</v>
      </c>
      <c r="B4" s="5" t="s">
        <v>309</v>
      </c>
      <c r="C4" s="5" t="s">
        <v>574</v>
      </c>
      <c r="D4" s="5" t="s">
        <v>575</v>
      </c>
      <c r="E4" s="10" t="n">
        <v>9.5</v>
      </c>
      <c r="F4" s="10" t="n">
        <v>7.6</v>
      </c>
      <c r="G4" s="10" t="n">
        <v>5.7</v>
      </c>
      <c r="H4" s="10" t="n">
        <v>3.8</v>
      </c>
      <c r="I4" s="10" t="n">
        <v>7.6</v>
      </c>
      <c r="J4" s="10"/>
      <c r="K4" s="5" t="s">
        <v>576</v>
      </c>
      <c r="L4" s="5" t="s">
        <v>577</v>
      </c>
      <c r="M4" s="5" t="s">
        <v>314</v>
      </c>
      <c r="N4" s="5" t="s">
        <v>578</v>
      </c>
    </row>
    <row r="5" customFormat="false" ht="42" hidden="false" customHeight="true" outlineLevel="0" collapsed="false">
      <c r="A5" s="5" t="s">
        <v>310</v>
      </c>
      <c r="B5" s="5" t="s">
        <v>309</v>
      </c>
      <c r="C5" s="5" t="s">
        <v>579</v>
      </c>
      <c r="D5" s="5" t="s">
        <v>575</v>
      </c>
      <c r="E5" s="10" t="n">
        <v>414.7</v>
      </c>
      <c r="F5" s="10" t="n">
        <v>414.7</v>
      </c>
      <c r="G5" s="10" t="n">
        <v>248.8</v>
      </c>
      <c r="H5" s="10" t="n">
        <v>165.9</v>
      </c>
      <c r="I5" s="10" t="n">
        <v>331.8</v>
      </c>
      <c r="J5" s="10"/>
      <c r="K5" s="5" t="s">
        <v>580</v>
      </c>
      <c r="L5" s="5" t="s">
        <v>577</v>
      </c>
      <c r="M5" s="5" t="s">
        <v>314</v>
      </c>
      <c r="N5" s="5" t="s">
        <v>578</v>
      </c>
    </row>
    <row r="6" customFormat="false" ht="42" hidden="false" customHeight="true" outlineLevel="0" collapsed="false">
      <c r="A6" s="5" t="s">
        <v>310</v>
      </c>
      <c r="B6" s="5" t="s">
        <v>309</v>
      </c>
      <c r="C6" s="5" t="s">
        <v>581</v>
      </c>
      <c r="D6" s="5" t="s">
        <v>575</v>
      </c>
      <c r="E6" s="10" t="n">
        <v>7.5</v>
      </c>
      <c r="F6" s="10" t="n">
        <v>6.2</v>
      </c>
      <c r="G6" s="10" t="n">
        <v>4.3</v>
      </c>
      <c r="H6" s="10" t="n">
        <v>3.1</v>
      </c>
      <c r="I6" s="10"/>
      <c r="J6" s="10"/>
      <c r="K6" s="5" t="s">
        <v>582</v>
      </c>
      <c r="L6" s="5" t="s">
        <v>577</v>
      </c>
      <c r="M6" s="5" t="s">
        <v>314</v>
      </c>
      <c r="N6" s="5" t="s">
        <v>578</v>
      </c>
    </row>
    <row r="7" customFormat="false" ht="42" hidden="false" customHeight="true" outlineLevel="0" collapsed="false">
      <c r="A7" s="5" t="s">
        <v>320</v>
      </c>
      <c r="B7" s="5" t="s">
        <v>309</v>
      </c>
      <c r="C7" s="5" t="s">
        <v>574</v>
      </c>
      <c r="D7" s="5" t="s">
        <v>575</v>
      </c>
      <c r="E7" s="10" t="n">
        <v>9.5</v>
      </c>
      <c r="F7" s="10" t="n">
        <v>7.6</v>
      </c>
      <c r="G7" s="10" t="n">
        <v>5.7</v>
      </c>
      <c r="H7" s="10" t="n">
        <v>3.8</v>
      </c>
      <c r="I7" s="10" t="n">
        <v>7.6</v>
      </c>
      <c r="J7" s="10"/>
      <c r="K7" s="5" t="s">
        <v>583</v>
      </c>
      <c r="L7" s="5" t="s">
        <v>577</v>
      </c>
      <c r="M7" s="5" t="s">
        <v>323</v>
      </c>
      <c r="N7" s="5" t="s">
        <v>578</v>
      </c>
    </row>
    <row r="8" customFormat="false" ht="42" hidden="false" customHeight="true" outlineLevel="0" collapsed="false">
      <c r="A8" s="5" t="s">
        <v>320</v>
      </c>
      <c r="B8" s="5" t="s">
        <v>309</v>
      </c>
      <c r="C8" s="5" t="s">
        <v>584</v>
      </c>
      <c r="D8" s="5" t="s">
        <v>575</v>
      </c>
      <c r="E8" s="10" t="n">
        <v>7.5</v>
      </c>
      <c r="F8" s="10" t="n">
        <v>6.2</v>
      </c>
      <c r="G8" s="10" t="n">
        <v>4.3</v>
      </c>
      <c r="H8" s="10" t="n">
        <v>3.1</v>
      </c>
      <c r="I8" s="10"/>
      <c r="J8" s="10"/>
      <c r="K8" s="5" t="s">
        <v>585</v>
      </c>
      <c r="L8" s="5" t="s">
        <v>577</v>
      </c>
      <c r="M8" s="5" t="s">
        <v>323</v>
      </c>
      <c r="N8" s="5" t="s">
        <v>578</v>
      </c>
    </row>
    <row r="9" customFormat="false" ht="42" hidden="false" customHeight="true" outlineLevel="0" collapsed="false">
      <c r="A9" s="5" t="s">
        <v>320</v>
      </c>
      <c r="B9" s="5" t="s">
        <v>309</v>
      </c>
      <c r="C9" s="5" t="s">
        <v>579</v>
      </c>
      <c r="D9" s="5" t="s">
        <v>575</v>
      </c>
      <c r="E9" s="10" t="n">
        <v>414.7</v>
      </c>
      <c r="F9" s="10" t="n">
        <v>414.7</v>
      </c>
      <c r="G9" s="10" t="n">
        <v>248.8</v>
      </c>
      <c r="H9" s="10" t="n">
        <v>165.9</v>
      </c>
      <c r="I9" s="10" t="n">
        <v>313.8</v>
      </c>
      <c r="J9" s="10"/>
      <c r="K9" s="5" t="s">
        <v>586</v>
      </c>
      <c r="L9" s="5" t="s">
        <v>577</v>
      </c>
      <c r="M9" s="5" t="s">
        <v>323</v>
      </c>
      <c r="N9" s="5" t="s">
        <v>578</v>
      </c>
    </row>
    <row r="10" customFormat="false" ht="42" hidden="false" customHeight="true" outlineLevel="0" collapsed="false">
      <c r="A10" s="5" t="s">
        <v>326</v>
      </c>
      <c r="B10" s="5" t="s">
        <v>309</v>
      </c>
      <c r="C10" s="5" t="s">
        <v>574</v>
      </c>
      <c r="D10" s="5" t="s">
        <v>575</v>
      </c>
      <c r="E10" s="10" t="n">
        <v>12.8</v>
      </c>
      <c r="F10" s="10" t="n">
        <v>10.2</v>
      </c>
      <c r="G10" s="10" t="n">
        <v>7.7</v>
      </c>
      <c r="H10" s="10" t="n">
        <v>5.1</v>
      </c>
      <c r="I10" s="10" t="n">
        <v>10.2</v>
      </c>
      <c r="J10" s="10"/>
      <c r="K10" s="5" t="s">
        <v>587</v>
      </c>
      <c r="L10" s="5" t="s">
        <v>577</v>
      </c>
      <c r="M10" s="5" t="s">
        <v>328</v>
      </c>
      <c r="N10" s="5" t="s">
        <v>578</v>
      </c>
    </row>
    <row r="11" customFormat="false" ht="42" hidden="false" customHeight="true" outlineLevel="0" collapsed="false">
      <c r="A11" s="5" t="s">
        <v>326</v>
      </c>
      <c r="B11" s="5" t="s">
        <v>309</v>
      </c>
      <c r="C11" s="5" t="s">
        <v>588</v>
      </c>
      <c r="D11" s="5" t="s">
        <v>575</v>
      </c>
      <c r="E11" s="10" t="n">
        <v>10.2</v>
      </c>
      <c r="F11" s="10" t="n">
        <v>10.2</v>
      </c>
      <c r="G11" s="10" t="n">
        <v>7.7</v>
      </c>
      <c r="H11" s="10" t="n">
        <v>5.1</v>
      </c>
      <c r="I11" s="10" t="n">
        <v>10.2</v>
      </c>
      <c r="J11" s="10"/>
      <c r="K11" s="5" t="s">
        <v>589</v>
      </c>
      <c r="L11" s="5" t="s">
        <v>577</v>
      </c>
      <c r="M11" s="5" t="s">
        <v>328</v>
      </c>
      <c r="N11" s="5" t="s">
        <v>578</v>
      </c>
    </row>
    <row r="12" customFormat="false" ht="42" hidden="false" customHeight="true" outlineLevel="0" collapsed="false">
      <c r="A12" s="5" t="s">
        <v>326</v>
      </c>
      <c r="B12" s="5" t="s">
        <v>309</v>
      </c>
      <c r="C12" s="5" t="s">
        <v>579</v>
      </c>
      <c r="D12" s="5" t="s">
        <v>575</v>
      </c>
      <c r="E12" s="10" t="n">
        <v>414.7</v>
      </c>
      <c r="F12" s="10" t="n">
        <v>414.7</v>
      </c>
      <c r="G12" s="10" t="n">
        <v>248.8</v>
      </c>
      <c r="H12" s="10" t="n">
        <v>165.9</v>
      </c>
      <c r="I12" s="10" t="n">
        <v>331.8</v>
      </c>
      <c r="J12" s="10"/>
      <c r="K12" s="5" t="s">
        <v>590</v>
      </c>
      <c r="L12" s="5" t="s">
        <v>577</v>
      </c>
      <c r="M12" s="5" t="s">
        <v>328</v>
      </c>
      <c r="N12" s="5" t="s">
        <v>578</v>
      </c>
    </row>
    <row r="13" customFormat="false" ht="42" hidden="false" customHeight="true" outlineLevel="0" collapsed="false">
      <c r="A13" s="5" t="s">
        <v>326</v>
      </c>
      <c r="B13" s="5" t="s">
        <v>309</v>
      </c>
      <c r="C13" s="5" t="s">
        <v>581</v>
      </c>
      <c r="D13" s="5" t="s">
        <v>575</v>
      </c>
      <c r="E13" s="10" t="n">
        <v>7.5</v>
      </c>
      <c r="F13" s="10" t="n">
        <v>6.2</v>
      </c>
      <c r="G13" s="10" t="n">
        <v>4.3</v>
      </c>
      <c r="H13" s="10" t="n">
        <v>3.1</v>
      </c>
      <c r="I13" s="10"/>
      <c r="J13" s="10"/>
      <c r="K13" s="5" t="s">
        <v>591</v>
      </c>
      <c r="L13" s="5" t="s">
        <v>577</v>
      </c>
      <c r="M13" s="5" t="s">
        <v>328</v>
      </c>
      <c r="N13" s="5" t="s">
        <v>578</v>
      </c>
    </row>
    <row r="14" customFormat="false" ht="42" hidden="false" customHeight="true" outlineLevel="0" collapsed="false">
      <c r="A14" s="5" t="s">
        <v>370</v>
      </c>
      <c r="B14" s="5" t="s">
        <v>592</v>
      </c>
      <c r="C14" s="5" t="s">
        <v>201</v>
      </c>
      <c r="D14" s="5" t="s">
        <v>272</v>
      </c>
      <c r="E14" s="10" t="n">
        <v>6.6</v>
      </c>
      <c r="F14" s="10" t="n">
        <v>5.3</v>
      </c>
      <c r="G14" s="10" t="n">
        <v>4</v>
      </c>
      <c r="H14" s="10" t="n">
        <v>2.7</v>
      </c>
      <c r="I14" s="10" t="n">
        <v>5.3</v>
      </c>
      <c r="J14" s="10"/>
      <c r="K14" s="5" t="s">
        <v>593</v>
      </c>
      <c r="L14" s="5" t="s">
        <v>594</v>
      </c>
      <c r="M14" s="5" t="s">
        <v>372</v>
      </c>
      <c r="N14" s="5" t="s">
        <v>578</v>
      </c>
    </row>
    <row r="15" customFormat="false" ht="42" hidden="false" customHeight="true" outlineLevel="0" collapsed="false">
      <c r="A15" s="5" t="s">
        <v>370</v>
      </c>
      <c r="B15" s="5" t="s">
        <v>592</v>
      </c>
      <c r="C15" s="5" t="s">
        <v>595</v>
      </c>
      <c r="D15" s="5" t="s">
        <v>272</v>
      </c>
      <c r="E15" s="10" t="n">
        <v>4.7</v>
      </c>
      <c r="F15" s="10" t="n">
        <v>4.7</v>
      </c>
      <c r="G15" s="10" t="n">
        <v>4</v>
      </c>
      <c r="H15" s="10" t="n">
        <v>2.7</v>
      </c>
      <c r="I15" s="10" t="n">
        <v>4.7</v>
      </c>
      <c r="J15" s="10"/>
      <c r="K15" s="5" t="s">
        <v>596</v>
      </c>
      <c r="L15" s="5" t="s">
        <v>594</v>
      </c>
      <c r="M15" s="5" t="s">
        <v>372</v>
      </c>
      <c r="N15" s="5" t="s">
        <v>578</v>
      </c>
    </row>
    <row r="16" customFormat="false" ht="42" hidden="false" customHeight="true" outlineLevel="0" collapsed="false">
      <c r="A16" s="5" t="s">
        <v>370</v>
      </c>
      <c r="B16" s="5" t="s">
        <v>592</v>
      </c>
      <c r="C16" s="5" t="s">
        <v>597</v>
      </c>
      <c r="D16" s="5" t="s">
        <v>272</v>
      </c>
      <c r="E16" s="10" t="n">
        <v>2.7</v>
      </c>
      <c r="F16" s="10" t="n">
        <v>2.7</v>
      </c>
      <c r="G16" s="10" t="n">
        <v>2.7</v>
      </c>
      <c r="H16" s="10" t="n">
        <v>2.7</v>
      </c>
      <c r="I16" s="10" t="n">
        <v>2.7</v>
      </c>
      <c r="J16" s="10"/>
      <c r="K16" s="5" t="s">
        <v>598</v>
      </c>
      <c r="L16" s="5" t="s">
        <v>594</v>
      </c>
      <c r="M16" s="5" t="s">
        <v>372</v>
      </c>
      <c r="N16" s="5" t="s">
        <v>578</v>
      </c>
    </row>
    <row r="17" customFormat="false" ht="42" hidden="false" customHeight="true" outlineLevel="0" collapsed="false">
      <c r="A17" s="5" t="s">
        <v>370</v>
      </c>
      <c r="B17" s="5" t="s">
        <v>592</v>
      </c>
      <c r="C17" s="5" t="s">
        <v>599</v>
      </c>
      <c r="D17" s="5" t="s">
        <v>272</v>
      </c>
      <c r="E17" s="10" t="n">
        <v>165</v>
      </c>
      <c r="F17" s="10" t="n">
        <v>165</v>
      </c>
      <c r="G17" s="10" t="n">
        <v>100</v>
      </c>
      <c r="H17" s="10" t="n">
        <v>36.5</v>
      </c>
      <c r="I17" s="10" t="n">
        <v>132.5</v>
      </c>
      <c r="J17" s="10"/>
      <c r="K17" s="5" t="s">
        <v>600</v>
      </c>
      <c r="L17" s="5" t="s">
        <v>594</v>
      </c>
      <c r="M17" s="5" t="s">
        <v>372</v>
      </c>
      <c r="N17" s="5" t="s">
        <v>578</v>
      </c>
    </row>
    <row r="18" customFormat="false" ht="42" hidden="false" customHeight="true" outlineLevel="0" collapsed="false">
      <c r="A18" s="5" t="s">
        <v>370</v>
      </c>
      <c r="B18" s="5" t="s">
        <v>592</v>
      </c>
      <c r="C18" s="5" t="s">
        <v>601</v>
      </c>
      <c r="D18" s="5" t="s">
        <v>272</v>
      </c>
      <c r="E18" s="10" t="n">
        <v>155.1</v>
      </c>
      <c r="F18" s="10" t="n">
        <v>155.1</v>
      </c>
      <c r="G18" s="10" t="n">
        <v>94</v>
      </c>
      <c r="H18" s="10" t="n">
        <v>34.3</v>
      </c>
      <c r="I18" s="10" t="n">
        <v>124.6</v>
      </c>
      <c r="J18" s="10"/>
      <c r="K18" s="5" t="s">
        <v>602</v>
      </c>
      <c r="L18" s="5" t="s">
        <v>594</v>
      </c>
      <c r="M18" s="5" t="s">
        <v>372</v>
      </c>
      <c r="N18" s="5" t="s">
        <v>578</v>
      </c>
    </row>
    <row r="19" customFormat="false" ht="42" hidden="false" customHeight="true" outlineLevel="0" collapsed="false">
      <c r="A19" s="5" t="s">
        <v>370</v>
      </c>
      <c r="B19" s="5" t="s">
        <v>592</v>
      </c>
      <c r="C19" s="5" t="s">
        <v>579</v>
      </c>
      <c r="D19" s="5" t="s">
        <v>575</v>
      </c>
      <c r="E19" s="10" t="n">
        <v>414.7</v>
      </c>
      <c r="F19" s="10" t="n">
        <v>414.7</v>
      </c>
      <c r="G19" s="10" t="n">
        <v>248.8</v>
      </c>
      <c r="H19" s="10" t="n">
        <v>165.9</v>
      </c>
      <c r="I19" s="10" t="n">
        <v>331.8</v>
      </c>
      <c r="J19" s="10"/>
      <c r="K19" s="5" t="s">
        <v>603</v>
      </c>
      <c r="L19" s="5" t="s">
        <v>577</v>
      </c>
      <c r="M19" s="5" t="s">
        <v>372</v>
      </c>
      <c r="N19" s="5" t="s">
        <v>578</v>
      </c>
    </row>
    <row r="20" customFormat="false" ht="42" hidden="false" customHeight="true" outlineLevel="0" collapsed="false">
      <c r="A20" s="5" t="s">
        <v>265</v>
      </c>
      <c r="B20" s="5" t="s">
        <v>264</v>
      </c>
      <c r="C20" s="5" t="s">
        <v>201</v>
      </c>
      <c r="D20" s="5" t="s">
        <v>272</v>
      </c>
      <c r="E20" s="10" t="n">
        <v>5.9</v>
      </c>
      <c r="F20" s="10" t="n">
        <v>4.7</v>
      </c>
      <c r="G20" s="10" t="n">
        <v>3.5</v>
      </c>
      <c r="H20" s="10" t="n">
        <v>2.4</v>
      </c>
      <c r="I20" s="10" t="n">
        <v>4.7</v>
      </c>
      <c r="J20" s="10"/>
      <c r="K20" s="5" t="s">
        <v>604</v>
      </c>
      <c r="L20" s="5" t="s">
        <v>594</v>
      </c>
      <c r="M20" s="5" t="s">
        <v>269</v>
      </c>
      <c r="N20" s="5" t="s">
        <v>578</v>
      </c>
    </row>
    <row r="21" customFormat="false" ht="42" hidden="false" customHeight="true" outlineLevel="0" collapsed="false">
      <c r="A21" s="5" t="s">
        <v>265</v>
      </c>
      <c r="B21" s="5" t="s">
        <v>264</v>
      </c>
      <c r="C21" s="5" t="s">
        <v>595</v>
      </c>
      <c r="D21" s="5" t="s">
        <v>272</v>
      </c>
      <c r="E21" s="10" t="n">
        <v>4.3</v>
      </c>
      <c r="F21" s="10" t="n">
        <v>4.3</v>
      </c>
      <c r="G21" s="10" t="n">
        <v>3.5</v>
      </c>
      <c r="H21" s="10" t="n">
        <v>2.4</v>
      </c>
      <c r="I21" s="10" t="n">
        <v>4.3</v>
      </c>
      <c r="J21" s="10"/>
      <c r="K21" s="5" t="s">
        <v>605</v>
      </c>
      <c r="L21" s="5" t="s">
        <v>594</v>
      </c>
      <c r="M21" s="5" t="s">
        <v>269</v>
      </c>
      <c r="N21" s="5" t="s">
        <v>578</v>
      </c>
    </row>
    <row r="22" customFormat="false" ht="42" hidden="false" customHeight="true" outlineLevel="0" collapsed="false">
      <c r="A22" s="5" t="s">
        <v>265</v>
      </c>
      <c r="B22" s="5" t="s">
        <v>264</v>
      </c>
      <c r="C22" s="5" t="s">
        <v>599</v>
      </c>
      <c r="D22" s="5" t="s">
        <v>272</v>
      </c>
      <c r="E22" s="10" t="n">
        <v>79.7</v>
      </c>
      <c r="F22" s="10" t="n">
        <v>79.7</v>
      </c>
      <c r="G22" s="10" t="n">
        <v>47.3</v>
      </c>
      <c r="H22" s="10" t="n">
        <v>32.4</v>
      </c>
      <c r="I22" s="10" t="n">
        <v>63.5</v>
      </c>
      <c r="J22" s="10"/>
      <c r="K22" s="5" t="s">
        <v>600</v>
      </c>
      <c r="L22" s="5" t="s">
        <v>594</v>
      </c>
      <c r="M22" s="5" t="s">
        <v>269</v>
      </c>
      <c r="N22" s="5" t="s">
        <v>578</v>
      </c>
    </row>
    <row r="23" customFormat="false" ht="42" hidden="false" customHeight="true" outlineLevel="0" collapsed="false">
      <c r="A23" s="5" t="s">
        <v>265</v>
      </c>
      <c r="B23" s="5" t="s">
        <v>264</v>
      </c>
      <c r="C23" s="5" t="s">
        <v>601</v>
      </c>
      <c r="D23" s="5" t="s">
        <v>272</v>
      </c>
      <c r="E23" s="10" t="n">
        <v>74.9</v>
      </c>
      <c r="F23" s="10" t="n">
        <v>74.9</v>
      </c>
      <c r="G23" s="10" t="n">
        <v>44.5</v>
      </c>
      <c r="H23" s="10" t="n">
        <v>30.5</v>
      </c>
      <c r="I23" s="10" t="n">
        <v>59.7</v>
      </c>
      <c r="J23" s="10"/>
      <c r="K23" s="5" t="s">
        <v>602</v>
      </c>
      <c r="L23" s="5" t="s">
        <v>594</v>
      </c>
      <c r="M23" s="5" t="s">
        <v>269</v>
      </c>
      <c r="N23" s="5" t="s">
        <v>578</v>
      </c>
    </row>
    <row r="24" customFormat="false" ht="42" hidden="false" customHeight="true" outlineLevel="0" collapsed="false">
      <c r="A24" s="5" t="s">
        <v>265</v>
      </c>
      <c r="B24" s="5" t="s">
        <v>264</v>
      </c>
      <c r="C24" s="5" t="s">
        <v>579</v>
      </c>
      <c r="D24" s="5" t="s">
        <v>575</v>
      </c>
      <c r="E24" s="10" t="n">
        <v>414.7</v>
      </c>
      <c r="F24" s="10" t="n">
        <v>414.7</v>
      </c>
      <c r="G24" s="10" t="n">
        <v>248.8</v>
      </c>
      <c r="H24" s="10" t="n">
        <v>165.9</v>
      </c>
      <c r="I24" s="10" t="n">
        <v>331.8</v>
      </c>
      <c r="J24" s="10"/>
      <c r="K24" s="5" t="s">
        <v>603</v>
      </c>
      <c r="L24" s="5" t="s">
        <v>577</v>
      </c>
      <c r="M24" s="5" t="s">
        <v>269</v>
      </c>
      <c r="N24" s="5" t="s">
        <v>578</v>
      </c>
    </row>
    <row r="25" customFormat="false" ht="42" hidden="false" customHeight="true" outlineLevel="0" collapsed="false">
      <c r="A25" s="5" t="s">
        <v>294</v>
      </c>
      <c r="B25" s="5" t="s">
        <v>592</v>
      </c>
      <c r="C25" s="5" t="s">
        <v>201</v>
      </c>
      <c r="D25" s="5" t="s">
        <v>272</v>
      </c>
      <c r="E25" s="10" t="n">
        <v>6.5</v>
      </c>
      <c r="F25" s="10"/>
      <c r="G25" s="10" t="n">
        <v>4</v>
      </c>
      <c r="H25" s="10" t="n">
        <v>3</v>
      </c>
      <c r="I25" s="10"/>
      <c r="J25" s="10"/>
      <c r="K25" s="5" t="s">
        <v>606</v>
      </c>
      <c r="L25" s="5" t="s">
        <v>594</v>
      </c>
      <c r="M25" s="5" t="s">
        <v>299</v>
      </c>
      <c r="N25" s="5" t="s">
        <v>578</v>
      </c>
    </row>
    <row r="26" customFormat="false" ht="42" hidden="false" customHeight="true" outlineLevel="0" collapsed="false">
      <c r="A26" s="5" t="s">
        <v>294</v>
      </c>
      <c r="B26" s="5" t="s">
        <v>592</v>
      </c>
      <c r="C26" s="5" t="s">
        <v>595</v>
      </c>
      <c r="D26" s="5" t="s">
        <v>272</v>
      </c>
      <c r="E26" s="10" t="n">
        <v>4.5</v>
      </c>
      <c r="F26" s="10"/>
      <c r="G26" s="10" t="n">
        <v>3</v>
      </c>
      <c r="H26" s="10" t="n">
        <v>2.5</v>
      </c>
      <c r="I26" s="10"/>
      <c r="J26" s="10"/>
      <c r="K26" s="5" t="s">
        <v>607</v>
      </c>
      <c r="L26" s="5" t="s">
        <v>594</v>
      </c>
      <c r="M26" s="5" t="s">
        <v>299</v>
      </c>
      <c r="N26" s="5" t="s">
        <v>578</v>
      </c>
    </row>
    <row r="27" customFormat="false" ht="42" hidden="false" customHeight="true" outlineLevel="0" collapsed="false">
      <c r="A27" s="5" t="s">
        <v>294</v>
      </c>
      <c r="B27" s="5" t="s">
        <v>592</v>
      </c>
      <c r="C27" s="5" t="s">
        <v>608</v>
      </c>
      <c r="D27" s="5" t="s">
        <v>272</v>
      </c>
      <c r="E27" s="10" t="n">
        <v>3.5</v>
      </c>
      <c r="F27" s="10"/>
      <c r="G27" s="10"/>
      <c r="H27" s="10"/>
      <c r="I27" s="10"/>
      <c r="J27" s="10"/>
      <c r="K27" s="5" t="s">
        <v>609</v>
      </c>
      <c r="L27" s="5" t="s">
        <v>594</v>
      </c>
      <c r="M27" s="5" t="s">
        <v>299</v>
      </c>
      <c r="N27" s="5" t="s">
        <v>578</v>
      </c>
    </row>
    <row r="28" customFormat="false" ht="42" hidden="false" customHeight="true" outlineLevel="0" collapsed="false">
      <c r="A28" s="5" t="s">
        <v>294</v>
      </c>
      <c r="B28" s="5" t="s">
        <v>592</v>
      </c>
      <c r="C28" s="5" t="s">
        <v>599</v>
      </c>
      <c r="D28" s="5" t="s">
        <v>272</v>
      </c>
      <c r="E28" s="10" t="n">
        <v>85</v>
      </c>
      <c r="F28" s="10"/>
      <c r="G28" s="10" t="n">
        <v>50</v>
      </c>
      <c r="H28" s="10" t="n">
        <v>30</v>
      </c>
      <c r="I28" s="10"/>
      <c r="J28" s="10"/>
      <c r="K28" s="5" t="s">
        <v>610</v>
      </c>
      <c r="L28" s="5" t="s">
        <v>594</v>
      </c>
      <c r="M28" s="5" t="s">
        <v>299</v>
      </c>
      <c r="N28" s="5" t="s">
        <v>578</v>
      </c>
    </row>
    <row r="29" customFormat="false" ht="42" hidden="false" customHeight="true" outlineLevel="0" collapsed="false">
      <c r="A29" s="5" t="s">
        <v>294</v>
      </c>
      <c r="B29" s="5" t="s">
        <v>592</v>
      </c>
      <c r="C29" s="5" t="s">
        <v>611</v>
      </c>
      <c r="D29" s="5" t="s">
        <v>272</v>
      </c>
      <c r="E29" s="10" t="n">
        <v>55</v>
      </c>
      <c r="F29" s="10"/>
      <c r="G29" s="10" t="n">
        <v>30</v>
      </c>
      <c r="H29" s="10" t="n">
        <v>22</v>
      </c>
      <c r="I29" s="10"/>
      <c r="J29" s="10"/>
      <c r="K29" s="5" t="s">
        <v>612</v>
      </c>
      <c r="L29" s="5" t="s">
        <v>594</v>
      </c>
      <c r="M29" s="5" t="s">
        <v>299</v>
      </c>
      <c r="N29" s="5" t="s">
        <v>578</v>
      </c>
    </row>
    <row r="30" customFormat="false" ht="42" hidden="false" customHeight="true" outlineLevel="0" collapsed="false">
      <c r="A30" s="5" t="s">
        <v>294</v>
      </c>
      <c r="B30" s="5" t="s">
        <v>592</v>
      </c>
      <c r="C30" s="5" t="s">
        <v>613</v>
      </c>
      <c r="D30" s="5" t="s">
        <v>272</v>
      </c>
      <c r="E30" s="10" t="n">
        <v>3.5</v>
      </c>
      <c r="F30" s="10"/>
      <c r="G30" s="10"/>
      <c r="H30" s="10"/>
      <c r="I30" s="10"/>
      <c r="J30" s="10"/>
      <c r="K30" s="5" t="s">
        <v>614</v>
      </c>
      <c r="L30" s="5" t="s">
        <v>594</v>
      </c>
      <c r="M30" s="5" t="s">
        <v>299</v>
      </c>
      <c r="N30" s="5" t="s">
        <v>578</v>
      </c>
    </row>
    <row r="31" customFormat="false" ht="42" hidden="false" customHeight="true" outlineLevel="0" collapsed="false">
      <c r="A31" s="5" t="s">
        <v>294</v>
      </c>
      <c r="B31" s="5" t="s">
        <v>592</v>
      </c>
      <c r="C31" s="5" t="s">
        <v>615</v>
      </c>
      <c r="D31" s="5" t="s">
        <v>272</v>
      </c>
      <c r="E31" s="10" t="n">
        <v>60</v>
      </c>
      <c r="F31" s="10"/>
      <c r="G31" s="10"/>
      <c r="H31" s="10"/>
      <c r="I31" s="10"/>
      <c r="J31" s="10"/>
      <c r="K31" s="5" t="s">
        <v>616</v>
      </c>
      <c r="L31" s="5" t="s">
        <v>594</v>
      </c>
      <c r="M31" s="5" t="s">
        <v>299</v>
      </c>
      <c r="N31" s="5" t="s">
        <v>578</v>
      </c>
    </row>
    <row r="32" customFormat="false" ht="42" hidden="false" customHeight="true" outlineLevel="0" collapsed="false">
      <c r="A32" s="5" t="s">
        <v>617</v>
      </c>
      <c r="B32" s="5" t="s">
        <v>618</v>
      </c>
      <c r="C32" s="5" t="s">
        <v>619</v>
      </c>
      <c r="D32" s="5" t="s">
        <v>620</v>
      </c>
      <c r="E32" s="10" t="n">
        <v>9</v>
      </c>
      <c r="F32" s="10"/>
      <c r="G32" s="10"/>
      <c r="H32" s="10"/>
      <c r="I32" s="10"/>
      <c r="J32" s="10" t="n">
        <v>7</v>
      </c>
      <c r="K32" s="5" t="s">
        <v>621</v>
      </c>
      <c r="L32" s="5" t="s">
        <v>622</v>
      </c>
      <c r="M32" s="5" t="s">
        <v>411</v>
      </c>
      <c r="N32" s="5" t="s">
        <v>578</v>
      </c>
    </row>
    <row r="33" customFormat="false" ht="42" hidden="false" customHeight="true" outlineLevel="0" collapsed="false">
      <c r="A33" s="5" t="s">
        <v>617</v>
      </c>
      <c r="B33" s="5" t="s">
        <v>618</v>
      </c>
      <c r="C33" s="5" t="s">
        <v>623</v>
      </c>
      <c r="D33" s="5" t="s">
        <v>620</v>
      </c>
      <c r="E33" s="10" t="n">
        <v>14</v>
      </c>
      <c r="F33" s="10"/>
      <c r="G33" s="10"/>
      <c r="H33" s="10"/>
      <c r="I33" s="10"/>
      <c r="J33" s="10" t="n">
        <v>11</v>
      </c>
      <c r="K33" s="5" t="s">
        <v>624</v>
      </c>
      <c r="L33" s="5" t="s">
        <v>622</v>
      </c>
      <c r="M33" s="5" t="s">
        <v>411</v>
      </c>
      <c r="N33" s="5" t="s">
        <v>578</v>
      </c>
    </row>
    <row r="34" customFormat="false" ht="42" hidden="false" customHeight="true" outlineLevel="0" collapsed="false">
      <c r="A34" s="5" t="s">
        <v>625</v>
      </c>
      <c r="B34" s="5" t="s">
        <v>618</v>
      </c>
      <c r="C34" s="5" t="s">
        <v>626</v>
      </c>
      <c r="D34" s="5" t="s">
        <v>620</v>
      </c>
      <c r="E34" s="10" t="n">
        <v>16</v>
      </c>
      <c r="F34" s="10"/>
      <c r="G34" s="10"/>
      <c r="H34" s="10"/>
      <c r="I34" s="10"/>
      <c r="J34" s="10" t="n">
        <v>32</v>
      </c>
      <c r="K34" s="5" t="s">
        <v>627</v>
      </c>
      <c r="L34" s="5" t="s">
        <v>622</v>
      </c>
      <c r="M34" s="5" t="s">
        <v>411</v>
      </c>
      <c r="N34" s="5" t="s">
        <v>578</v>
      </c>
    </row>
    <row r="35" customFormat="false" ht="42" hidden="false" customHeight="true" outlineLevel="0" collapsed="false">
      <c r="A35" s="5" t="s">
        <v>401</v>
      </c>
      <c r="B35" s="5" t="s">
        <v>618</v>
      </c>
      <c r="C35" s="5" t="s">
        <v>628</v>
      </c>
      <c r="D35" s="5" t="s">
        <v>629</v>
      </c>
      <c r="E35" s="10" t="n">
        <v>10</v>
      </c>
      <c r="F35" s="10"/>
      <c r="G35" s="10"/>
      <c r="H35" s="10"/>
      <c r="I35" s="10"/>
      <c r="J35" s="10"/>
      <c r="K35" s="5" t="s">
        <v>630</v>
      </c>
      <c r="L35" s="5" t="s">
        <v>631</v>
      </c>
      <c r="M35" s="5" t="s">
        <v>404</v>
      </c>
      <c r="N35" s="5" t="s">
        <v>578</v>
      </c>
    </row>
    <row r="36" customFormat="false" ht="42" hidden="false" customHeight="true" outlineLevel="0" collapsed="false">
      <c r="A36" s="5" t="s">
        <v>401</v>
      </c>
      <c r="B36" s="5" t="s">
        <v>618</v>
      </c>
      <c r="C36" s="5" t="s">
        <v>632</v>
      </c>
      <c r="D36" s="5" t="s">
        <v>629</v>
      </c>
      <c r="E36" s="10"/>
      <c r="F36" s="10"/>
      <c r="G36" s="10"/>
      <c r="H36" s="10" t="n">
        <v>6</v>
      </c>
      <c r="I36" s="10"/>
      <c r="J36" s="10"/>
      <c r="K36" s="5" t="s">
        <v>633</v>
      </c>
      <c r="L36" s="5" t="s">
        <v>631</v>
      </c>
      <c r="M36" s="5" t="s">
        <v>404</v>
      </c>
      <c r="N36" s="5" t="s">
        <v>578</v>
      </c>
    </row>
    <row r="37" customFormat="false" ht="42" hidden="false" customHeight="true" outlineLevel="0" collapsed="false">
      <c r="A37" s="5" t="s">
        <v>401</v>
      </c>
      <c r="B37" s="5" t="s">
        <v>618</v>
      </c>
      <c r="C37" s="5" t="s">
        <v>634</v>
      </c>
      <c r="D37" s="5" t="s">
        <v>629</v>
      </c>
      <c r="E37" s="10"/>
      <c r="F37" s="10"/>
      <c r="G37" s="10"/>
      <c r="H37" s="10"/>
      <c r="I37" s="10"/>
      <c r="J37" s="10" t="n">
        <v>25</v>
      </c>
      <c r="K37" s="5" t="s">
        <v>635</v>
      </c>
      <c r="L37" s="5" t="s">
        <v>631</v>
      </c>
      <c r="M37" s="5" t="s">
        <v>404</v>
      </c>
      <c r="N37" s="5" t="s">
        <v>578</v>
      </c>
    </row>
    <row r="38" customFormat="false" ht="42" hidden="false" customHeight="true" outlineLevel="0" collapsed="false">
      <c r="A38" s="5" t="s">
        <v>401</v>
      </c>
      <c r="B38" s="5" t="s">
        <v>618</v>
      </c>
      <c r="C38" s="5" t="s">
        <v>636</v>
      </c>
      <c r="D38" s="5" t="s">
        <v>629</v>
      </c>
      <c r="E38" s="10" t="n">
        <v>8</v>
      </c>
      <c r="F38" s="10"/>
      <c r="G38" s="10"/>
      <c r="H38" s="10"/>
      <c r="I38" s="10"/>
      <c r="J38" s="10"/>
      <c r="K38" s="5" t="s">
        <v>637</v>
      </c>
      <c r="L38" s="5" t="s">
        <v>631</v>
      </c>
      <c r="M38" s="5" t="s">
        <v>404</v>
      </c>
      <c r="N38" s="5" t="s">
        <v>578</v>
      </c>
    </row>
    <row r="39" customFormat="false" ht="42" hidden="false" customHeight="true" outlineLevel="0" collapsed="false">
      <c r="A39" s="5" t="s">
        <v>401</v>
      </c>
      <c r="B39" s="5" t="s">
        <v>618</v>
      </c>
      <c r="C39" s="5" t="s">
        <v>638</v>
      </c>
      <c r="D39" s="5" t="s">
        <v>629</v>
      </c>
      <c r="E39" s="10"/>
      <c r="F39" s="10"/>
      <c r="G39" s="10"/>
      <c r="H39" s="10" t="n">
        <v>6</v>
      </c>
      <c r="I39" s="10"/>
      <c r="J39" s="10"/>
      <c r="K39" s="5" t="s">
        <v>639</v>
      </c>
      <c r="L39" s="5" t="s">
        <v>631</v>
      </c>
      <c r="M39" s="5" t="s">
        <v>404</v>
      </c>
      <c r="N39" s="5" t="s">
        <v>578</v>
      </c>
    </row>
    <row r="40" customFormat="false" ht="42" hidden="false" customHeight="true" outlineLevel="0" collapsed="false">
      <c r="A40" s="5" t="s">
        <v>401</v>
      </c>
      <c r="B40" s="5" t="s">
        <v>640</v>
      </c>
      <c r="C40" s="5" t="s">
        <v>641</v>
      </c>
      <c r="D40" s="5" t="s">
        <v>629</v>
      </c>
      <c r="E40" s="10" t="n">
        <v>80</v>
      </c>
      <c r="F40" s="10"/>
      <c r="G40" s="10"/>
      <c r="H40" s="10"/>
      <c r="I40" s="10"/>
      <c r="J40" s="10"/>
      <c r="K40" s="5" t="s">
        <v>642</v>
      </c>
      <c r="L40" s="5" t="s">
        <v>631</v>
      </c>
      <c r="M40" s="5" t="s">
        <v>404</v>
      </c>
      <c r="N40" s="5" t="s">
        <v>578</v>
      </c>
    </row>
    <row r="41" customFormat="false" ht="42" hidden="false" customHeight="true" outlineLevel="0" collapsed="false">
      <c r="A41" s="5" t="s">
        <v>415</v>
      </c>
      <c r="B41" s="5" t="s">
        <v>618</v>
      </c>
      <c r="C41" s="5" t="s">
        <v>628</v>
      </c>
      <c r="D41" s="5" t="s">
        <v>620</v>
      </c>
      <c r="E41" s="10" t="n">
        <v>6</v>
      </c>
      <c r="F41" s="10"/>
      <c r="G41" s="10"/>
      <c r="H41" s="10"/>
      <c r="I41" s="10"/>
      <c r="J41" s="10"/>
      <c r="K41" s="5" t="s">
        <v>643</v>
      </c>
      <c r="L41" s="5" t="s">
        <v>622</v>
      </c>
      <c r="M41" s="5" t="s">
        <v>418</v>
      </c>
      <c r="N41" s="5" t="s">
        <v>578</v>
      </c>
    </row>
    <row r="42" customFormat="false" ht="42" hidden="false" customHeight="true" outlineLevel="0" collapsed="false">
      <c r="A42" s="5" t="s">
        <v>415</v>
      </c>
      <c r="B42" s="5" t="s">
        <v>618</v>
      </c>
      <c r="C42" s="5" t="s">
        <v>644</v>
      </c>
      <c r="D42" s="5" t="s">
        <v>620</v>
      </c>
      <c r="E42" s="10"/>
      <c r="F42" s="10" t="n">
        <v>3</v>
      </c>
      <c r="G42" s="10" t="n">
        <v>3</v>
      </c>
      <c r="H42" s="10"/>
      <c r="I42" s="10"/>
      <c r="J42" s="10"/>
      <c r="K42" s="5" t="s">
        <v>645</v>
      </c>
      <c r="L42" s="5" t="s">
        <v>622</v>
      </c>
      <c r="M42" s="5" t="s">
        <v>418</v>
      </c>
      <c r="N42" s="5" t="s">
        <v>578</v>
      </c>
    </row>
    <row r="43" customFormat="false" ht="42" hidden="false" customHeight="true" outlineLevel="0" collapsed="false">
      <c r="A43" s="5" t="s">
        <v>415</v>
      </c>
      <c r="B43" s="5" t="s">
        <v>618</v>
      </c>
      <c r="C43" s="5" t="s">
        <v>634</v>
      </c>
      <c r="D43" s="5" t="s">
        <v>620</v>
      </c>
      <c r="E43" s="10"/>
      <c r="F43" s="10"/>
      <c r="G43" s="10"/>
      <c r="H43" s="10"/>
      <c r="I43" s="10"/>
      <c r="J43" s="10" t="n">
        <v>12.5</v>
      </c>
      <c r="K43" s="5" t="s">
        <v>646</v>
      </c>
      <c r="L43" s="5" t="s">
        <v>622</v>
      </c>
      <c r="M43" s="5" t="s">
        <v>418</v>
      </c>
      <c r="N43" s="5" t="s">
        <v>578</v>
      </c>
    </row>
    <row r="44" customFormat="false" ht="42" hidden="false" customHeight="true" outlineLevel="0" collapsed="false">
      <c r="A44" s="5" t="s">
        <v>415</v>
      </c>
      <c r="B44" s="5" t="s">
        <v>618</v>
      </c>
      <c r="C44" s="5" t="s">
        <v>647</v>
      </c>
      <c r="D44" s="5" t="s">
        <v>620</v>
      </c>
      <c r="E44" s="10" t="n">
        <v>3</v>
      </c>
      <c r="F44" s="10"/>
      <c r="G44" s="10"/>
      <c r="H44" s="10"/>
      <c r="I44" s="10"/>
      <c r="J44" s="10"/>
      <c r="K44" s="5" t="s">
        <v>648</v>
      </c>
      <c r="L44" s="5" t="s">
        <v>622</v>
      </c>
      <c r="M44" s="5" t="s">
        <v>418</v>
      </c>
      <c r="N44" s="5" t="s">
        <v>578</v>
      </c>
    </row>
    <row r="45" customFormat="false" ht="42" hidden="false" customHeight="true" outlineLevel="0" collapsed="false">
      <c r="A45" s="5" t="s">
        <v>649</v>
      </c>
      <c r="B45" s="5" t="s">
        <v>650</v>
      </c>
      <c r="C45" s="5" t="s">
        <v>651</v>
      </c>
      <c r="D45" s="5" t="s">
        <v>620</v>
      </c>
      <c r="E45" s="10" t="n">
        <v>7.2</v>
      </c>
      <c r="F45" s="10"/>
      <c r="G45" s="10"/>
      <c r="H45" s="10"/>
      <c r="I45" s="10"/>
      <c r="J45" s="10" t="n">
        <v>14.5</v>
      </c>
      <c r="K45" s="5" t="s">
        <v>652</v>
      </c>
      <c r="L45" s="5" t="s">
        <v>622</v>
      </c>
      <c r="M45" s="5" t="s">
        <v>418</v>
      </c>
      <c r="N45" s="5" t="s">
        <v>578</v>
      </c>
    </row>
    <row r="46" customFormat="false" ht="42" hidden="false" customHeight="true" outlineLevel="0" collapsed="false">
      <c r="A46" s="5" t="s">
        <v>653</v>
      </c>
      <c r="B46" s="5" t="s">
        <v>650</v>
      </c>
      <c r="C46" s="5" t="s">
        <v>654</v>
      </c>
      <c r="D46" s="5" t="s">
        <v>620</v>
      </c>
      <c r="E46" s="10" t="n">
        <v>10.5</v>
      </c>
      <c r="F46" s="10"/>
      <c r="G46" s="10"/>
      <c r="H46" s="10"/>
      <c r="I46" s="10"/>
      <c r="J46" s="10" t="n">
        <v>21</v>
      </c>
      <c r="K46" s="5" t="s">
        <v>655</v>
      </c>
      <c r="L46" s="5" t="s">
        <v>622</v>
      </c>
      <c r="M46" s="5" t="s">
        <v>418</v>
      </c>
      <c r="N46" s="5" t="s">
        <v>578</v>
      </c>
    </row>
    <row r="47" customFormat="false" ht="42" hidden="false" customHeight="true" outlineLevel="0" collapsed="false">
      <c r="A47" s="5" t="s">
        <v>439</v>
      </c>
      <c r="B47" s="5" t="s">
        <v>656</v>
      </c>
      <c r="C47" s="5" t="s">
        <v>657</v>
      </c>
      <c r="D47" s="5" t="s">
        <v>658</v>
      </c>
      <c r="E47" s="10" t="n">
        <v>25</v>
      </c>
      <c r="F47" s="10"/>
      <c r="G47" s="10"/>
      <c r="H47" s="10"/>
      <c r="I47" s="10" t="n">
        <v>21</v>
      </c>
      <c r="J47" s="10"/>
      <c r="K47" s="5" t="s">
        <v>659</v>
      </c>
      <c r="L47" s="5" t="s">
        <v>620</v>
      </c>
      <c r="M47" s="5" t="s">
        <v>442</v>
      </c>
      <c r="N47" s="5" t="s">
        <v>578</v>
      </c>
    </row>
    <row r="48" customFormat="false" ht="42" hidden="false" customHeight="true" outlineLevel="0" collapsed="false">
      <c r="A48" s="5" t="s">
        <v>439</v>
      </c>
      <c r="B48" s="5" t="s">
        <v>656</v>
      </c>
      <c r="C48" s="5" t="s">
        <v>660</v>
      </c>
      <c r="D48" s="5" t="s">
        <v>658</v>
      </c>
      <c r="E48" s="10" t="n">
        <v>27</v>
      </c>
      <c r="F48" s="10"/>
      <c r="G48" s="10"/>
      <c r="H48" s="10"/>
      <c r="I48" s="10" t="n">
        <v>23</v>
      </c>
      <c r="J48" s="10"/>
      <c r="K48" s="5" t="s">
        <v>661</v>
      </c>
      <c r="L48" s="5" t="s">
        <v>620</v>
      </c>
      <c r="M48" s="5" t="s">
        <v>442</v>
      </c>
      <c r="N48" s="5" t="s">
        <v>578</v>
      </c>
    </row>
    <row r="49" customFormat="false" ht="42" hidden="false" customHeight="true" outlineLevel="0" collapsed="false">
      <c r="A49" s="5" t="s">
        <v>439</v>
      </c>
      <c r="B49" s="5" t="s">
        <v>656</v>
      </c>
      <c r="C49" s="5" t="s">
        <v>662</v>
      </c>
      <c r="D49" s="5" t="s">
        <v>658</v>
      </c>
      <c r="E49" s="10"/>
      <c r="F49" s="10"/>
      <c r="G49" s="10"/>
      <c r="H49" s="10" t="n">
        <v>9</v>
      </c>
      <c r="I49" s="10"/>
      <c r="J49" s="10"/>
      <c r="K49" s="5" t="s">
        <v>663</v>
      </c>
      <c r="L49" s="5" t="s">
        <v>620</v>
      </c>
      <c r="M49" s="5" t="s">
        <v>442</v>
      </c>
      <c r="N49" s="5" t="s">
        <v>578</v>
      </c>
    </row>
    <row r="50" customFormat="false" ht="42" hidden="false" customHeight="true" outlineLevel="0" collapsed="false">
      <c r="A50" s="5" t="s">
        <v>439</v>
      </c>
      <c r="B50" s="5" t="s">
        <v>656</v>
      </c>
      <c r="C50" s="5" t="s">
        <v>664</v>
      </c>
      <c r="D50" s="5" t="s">
        <v>658</v>
      </c>
      <c r="E50" s="10" t="n">
        <v>23</v>
      </c>
      <c r="F50" s="10"/>
      <c r="G50" s="10"/>
      <c r="H50" s="10"/>
      <c r="I50" s="10"/>
      <c r="J50" s="10"/>
      <c r="K50" s="5" t="s">
        <v>665</v>
      </c>
      <c r="L50" s="5" t="s">
        <v>620</v>
      </c>
      <c r="M50" s="5" t="s">
        <v>442</v>
      </c>
      <c r="N50" s="5" t="s">
        <v>578</v>
      </c>
    </row>
    <row r="51" customFormat="false" ht="42" hidden="false" customHeight="true" outlineLevel="0" collapsed="false">
      <c r="A51" s="5" t="s">
        <v>189</v>
      </c>
      <c r="B51" s="5" t="s">
        <v>666</v>
      </c>
      <c r="C51" s="5" t="s">
        <v>667</v>
      </c>
      <c r="D51" s="5" t="s">
        <v>668</v>
      </c>
      <c r="E51" s="10" t="n">
        <v>65</v>
      </c>
      <c r="F51" s="10" t="n">
        <v>59</v>
      </c>
      <c r="G51" s="10" t="n">
        <v>59</v>
      </c>
      <c r="H51" s="10" t="n">
        <v>39</v>
      </c>
      <c r="I51" s="10"/>
      <c r="J51" s="10"/>
      <c r="K51" s="5" t="s">
        <v>669</v>
      </c>
      <c r="L51" s="5" t="s">
        <v>668</v>
      </c>
      <c r="M51" s="5" t="s">
        <v>194</v>
      </c>
      <c r="N51" s="5" t="s">
        <v>578</v>
      </c>
    </row>
    <row r="52" customFormat="false" ht="42" hidden="false" customHeight="true" outlineLevel="0" collapsed="false">
      <c r="A52" s="5" t="s">
        <v>189</v>
      </c>
      <c r="B52" s="5" t="s">
        <v>666</v>
      </c>
      <c r="C52" s="5" t="s">
        <v>670</v>
      </c>
      <c r="D52" s="5" t="s">
        <v>668</v>
      </c>
      <c r="E52" s="10" t="n">
        <v>85</v>
      </c>
      <c r="F52" s="10" t="n">
        <v>78</v>
      </c>
      <c r="G52" s="10" t="n">
        <v>78</v>
      </c>
      <c r="H52" s="10" t="n">
        <v>51</v>
      </c>
      <c r="I52" s="10"/>
      <c r="J52" s="10"/>
      <c r="K52" s="5" t="s">
        <v>669</v>
      </c>
      <c r="L52" s="5" t="s">
        <v>668</v>
      </c>
      <c r="M52" s="5" t="s">
        <v>194</v>
      </c>
      <c r="N52" s="5" t="s">
        <v>578</v>
      </c>
    </row>
    <row r="53" customFormat="false" ht="42" hidden="false" customHeight="true" outlineLevel="0" collapsed="false">
      <c r="A53" s="5" t="s">
        <v>189</v>
      </c>
      <c r="B53" s="5" t="s">
        <v>666</v>
      </c>
      <c r="C53" s="5" t="s">
        <v>671</v>
      </c>
      <c r="D53" s="5" t="s">
        <v>668</v>
      </c>
      <c r="E53" s="10" t="n">
        <v>168</v>
      </c>
      <c r="F53" s="10" t="n">
        <v>154</v>
      </c>
      <c r="G53" s="10" t="n">
        <v>154</v>
      </c>
      <c r="H53" s="10" t="n">
        <v>101</v>
      </c>
      <c r="I53" s="10"/>
      <c r="J53" s="10"/>
      <c r="K53" s="5" t="s">
        <v>669</v>
      </c>
      <c r="L53" s="5" t="s">
        <v>668</v>
      </c>
      <c r="M53" s="5" t="s">
        <v>194</v>
      </c>
      <c r="N53" s="5" t="s">
        <v>578</v>
      </c>
    </row>
    <row r="54" customFormat="false" ht="42" hidden="false" customHeight="true" outlineLevel="0" collapsed="false">
      <c r="A54" s="5" t="s">
        <v>189</v>
      </c>
      <c r="B54" s="5" t="s">
        <v>666</v>
      </c>
      <c r="C54" s="5" t="s">
        <v>672</v>
      </c>
      <c r="D54" s="5" t="s">
        <v>668</v>
      </c>
      <c r="E54" s="10" t="n">
        <v>251</v>
      </c>
      <c r="F54" s="10" t="n">
        <v>228</v>
      </c>
      <c r="G54" s="10" t="n">
        <v>228</v>
      </c>
      <c r="H54" s="10" t="n">
        <v>148</v>
      </c>
      <c r="I54" s="10"/>
      <c r="J54" s="10"/>
      <c r="K54" s="5" t="s">
        <v>669</v>
      </c>
      <c r="L54" s="5" t="s">
        <v>668</v>
      </c>
      <c r="M54" s="5" t="s">
        <v>194</v>
      </c>
      <c r="N54" s="5" t="s">
        <v>578</v>
      </c>
    </row>
    <row r="55" customFormat="false" ht="42" hidden="false" customHeight="true" outlineLevel="0" collapsed="false">
      <c r="A55" s="5" t="s">
        <v>189</v>
      </c>
      <c r="B55" s="5" t="s">
        <v>666</v>
      </c>
      <c r="C55" s="5" t="s">
        <v>673</v>
      </c>
      <c r="D55" s="5" t="s">
        <v>668</v>
      </c>
      <c r="E55" s="10" t="n">
        <v>405</v>
      </c>
      <c r="F55" s="10" t="n">
        <v>356</v>
      </c>
      <c r="G55" s="10" t="n">
        <v>356</v>
      </c>
      <c r="H55" s="10" t="n">
        <v>235</v>
      </c>
      <c r="I55" s="10"/>
      <c r="J55" s="10"/>
      <c r="K55" s="5" t="s">
        <v>674</v>
      </c>
      <c r="L55" s="5" t="s">
        <v>668</v>
      </c>
      <c r="M55" s="5" t="s">
        <v>675</v>
      </c>
      <c r="N55" s="5" t="s">
        <v>676</v>
      </c>
    </row>
    <row r="56" customFormat="false" ht="42" hidden="false" customHeight="true" outlineLevel="0" collapsed="false">
      <c r="A56" s="5" t="s">
        <v>189</v>
      </c>
      <c r="B56" s="5" t="s">
        <v>666</v>
      </c>
      <c r="C56" s="5" t="s">
        <v>677</v>
      </c>
      <c r="D56" s="5" t="s">
        <v>668</v>
      </c>
      <c r="E56" s="10" t="n">
        <v>468</v>
      </c>
      <c r="F56" s="10" t="n">
        <v>405</v>
      </c>
      <c r="G56" s="10" t="n">
        <v>405</v>
      </c>
      <c r="H56" s="10" t="n">
        <v>276</v>
      </c>
      <c r="I56" s="10"/>
      <c r="J56" s="10"/>
      <c r="K56" s="5" t="s">
        <v>674</v>
      </c>
      <c r="L56" s="5" t="s">
        <v>668</v>
      </c>
      <c r="M56" s="5" t="s">
        <v>675</v>
      </c>
      <c r="N56" s="5" t="s">
        <v>676</v>
      </c>
    </row>
    <row r="57" customFormat="false" ht="42" hidden="false" customHeight="true" outlineLevel="0" collapsed="false">
      <c r="A57" s="5" t="s">
        <v>189</v>
      </c>
      <c r="B57" s="5" t="s">
        <v>666</v>
      </c>
      <c r="C57" s="5" t="s">
        <v>678</v>
      </c>
      <c r="D57" s="5" t="s">
        <v>668</v>
      </c>
      <c r="E57" s="10" t="n">
        <v>526</v>
      </c>
      <c r="F57" s="10" t="n">
        <v>453</v>
      </c>
      <c r="G57" s="10" t="n">
        <v>453</v>
      </c>
      <c r="H57" s="10" t="n">
        <v>311</v>
      </c>
      <c r="I57" s="10"/>
      <c r="J57" s="10"/>
      <c r="K57" s="5" t="s">
        <v>674</v>
      </c>
      <c r="L57" s="5" t="s">
        <v>668</v>
      </c>
      <c r="M57" s="5" t="s">
        <v>675</v>
      </c>
      <c r="N57" s="5" t="s">
        <v>676</v>
      </c>
    </row>
    <row r="58" customFormat="false" ht="42" hidden="false" customHeight="true" outlineLevel="0" collapsed="false">
      <c r="A58" s="5" t="s">
        <v>189</v>
      </c>
      <c r="B58" s="5" t="s">
        <v>666</v>
      </c>
      <c r="C58" s="5" t="s">
        <v>679</v>
      </c>
      <c r="D58" s="5" t="s">
        <v>668</v>
      </c>
      <c r="E58" s="10" t="n">
        <v>580</v>
      </c>
      <c r="F58" s="10" t="n">
        <v>498</v>
      </c>
      <c r="G58" s="10" t="n">
        <v>498</v>
      </c>
      <c r="H58" s="10" t="n">
        <v>341</v>
      </c>
      <c r="I58" s="10"/>
      <c r="J58" s="10"/>
      <c r="K58" s="5" t="s">
        <v>674</v>
      </c>
      <c r="L58" s="5" t="s">
        <v>668</v>
      </c>
      <c r="M58" s="5" t="s">
        <v>675</v>
      </c>
      <c r="N58" s="5" t="s">
        <v>676</v>
      </c>
    </row>
    <row r="59" customFormat="false" ht="42" hidden="false" customHeight="true" outlineLevel="0" collapsed="false">
      <c r="A59" s="5" t="s">
        <v>189</v>
      </c>
      <c r="B59" s="5" t="s">
        <v>666</v>
      </c>
      <c r="C59" s="5" t="s">
        <v>680</v>
      </c>
      <c r="D59" s="5" t="s">
        <v>668</v>
      </c>
      <c r="E59" s="10" t="n">
        <v>634</v>
      </c>
      <c r="F59" s="10" t="n">
        <v>546</v>
      </c>
      <c r="G59" s="10" t="n">
        <v>546</v>
      </c>
      <c r="H59" s="10" t="n">
        <v>372</v>
      </c>
      <c r="I59" s="10"/>
      <c r="J59" s="10"/>
      <c r="K59" s="5" t="s">
        <v>674</v>
      </c>
      <c r="L59" s="5" t="s">
        <v>668</v>
      </c>
      <c r="M59" s="5" t="s">
        <v>675</v>
      </c>
      <c r="N59" s="5" t="s">
        <v>676</v>
      </c>
    </row>
    <row r="60" customFormat="false" ht="42" hidden="false" customHeight="true" outlineLevel="0" collapsed="false">
      <c r="A60" s="5" t="s">
        <v>189</v>
      </c>
      <c r="B60" s="5" t="s">
        <v>666</v>
      </c>
      <c r="C60" s="5" t="s">
        <v>681</v>
      </c>
      <c r="D60" s="5" t="s">
        <v>668</v>
      </c>
      <c r="E60" s="10" t="n">
        <v>684</v>
      </c>
      <c r="F60" s="10" t="n">
        <v>590</v>
      </c>
      <c r="G60" s="10" t="n">
        <v>590</v>
      </c>
      <c r="H60" s="10" t="n">
        <v>402</v>
      </c>
      <c r="I60" s="10"/>
      <c r="J60" s="10"/>
      <c r="K60" s="5" t="s">
        <v>674</v>
      </c>
      <c r="L60" s="5" t="s">
        <v>668</v>
      </c>
      <c r="M60" s="5" t="s">
        <v>675</v>
      </c>
      <c r="N60" s="5" t="s">
        <v>676</v>
      </c>
    </row>
    <row r="61" customFormat="false" ht="42" hidden="false" customHeight="true" outlineLevel="0" collapsed="false">
      <c r="A61" s="5" t="s">
        <v>189</v>
      </c>
      <c r="B61" s="5" t="s">
        <v>666</v>
      </c>
      <c r="C61" s="5" t="s">
        <v>599</v>
      </c>
      <c r="D61" s="5" t="s">
        <v>491</v>
      </c>
      <c r="E61" s="10" t="n">
        <v>1272</v>
      </c>
      <c r="F61" s="10" t="n">
        <v>1086</v>
      </c>
      <c r="G61" s="10" t="n">
        <v>1086</v>
      </c>
      <c r="H61" s="10" t="n">
        <v>733</v>
      </c>
      <c r="I61" s="10"/>
      <c r="J61" s="10"/>
      <c r="K61" s="5" t="s">
        <v>669</v>
      </c>
      <c r="L61" s="5" t="s">
        <v>491</v>
      </c>
      <c r="M61" s="5" t="s">
        <v>194</v>
      </c>
      <c r="N61" s="5" t="s">
        <v>578</v>
      </c>
    </row>
    <row r="62" customFormat="false" ht="42" hidden="false" customHeight="true" outlineLevel="0" collapsed="false">
      <c r="A62" s="5" t="s">
        <v>189</v>
      </c>
      <c r="B62" s="5" t="s">
        <v>666</v>
      </c>
      <c r="C62" s="5" t="s">
        <v>682</v>
      </c>
      <c r="D62" s="5" t="s">
        <v>668</v>
      </c>
      <c r="E62" s="10" t="n">
        <v>42.5</v>
      </c>
      <c r="F62" s="10" t="n">
        <v>42.5</v>
      </c>
      <c r="G62" s="10"/>
      <c r="H62" s="10"/>
      <c r="I62" s="10"/>
      <c r="J62" s="10"/>
      <c r="K62" s="5" t="s">
        <v>683</v>
      </c>
      <c r="L62" s="5" t="s">
        <v>668</v>
      </c>
      <c r="M62" s="5" t="s">
        <v>194</v>
      </c>
      <c r="N62" s="5" t="s">
        <v>578</v>
      </c>
    </row>
    <row r="63" customFormat="false" ht="42" hidden="false" customHeight="true" outlineLevel="0" collapsed="false">
      <c r="A63" s="5" t="s">
        <v>189</v>
      </c>
      <c r="B63" s="5" t="s">
        <v>666</v>
      </c>
      <c r="C63" s="5" t="s">
        <v>684</v>
      </c>
      <c r="D63" s="5" t="s">
        <v>668</v>
      </c>
      <c r="E63" s="10" t="n">
        <v>11</v>
      </c>
      <c r="F63" s="10"/>
      <c r="G63" s="10"/>
      <c r="H63" s="10" t="n">
        <v>11</v>
      </c>
      <c r="I63" s="10"/>
      <c r="J63" s="10"/>
      <c r="K63" s="5" t="s">
        <v>685</v>
      </c>
      <c r="L63" s="5" t="s">
        <v>668</v>
      </c>
      <c r="M63" s="5" t="s">
        <v>194</v>
      </c>
      <c r="N63" s="5" t="s">
        <v>578</v>
      </c>
    </row>
    <row r="64" customFormat="false" ht="42" hidden="false" customHeight="true" outlineLevel="0" collapsed="false">
      <c r="A64" s="5" t="s">
        <v>686</v>
      </c>
      <c r="B64" s="5" t="s">
        <v>666</v>
      </c>
      <c r="C64" s="5" t="s">
        <v>687</v>
      </c>
      <c r="D64" s="5" t="s">
        <v>688</v>
      </c>
      <c r="E64" s="10" t="n">
        <v>83</v>
      </c>
      <c r="F64" s="10" t="n">
        <v>83</v>
      </c>
      <c r="G64" s="10"/>
      <c r="H64" s="10" t="n">
        <v>51</v>
      </c>
      <c r="I64" s="10"/>
      <c r="J64" s="10"/>
      <c r="K64" s="5" t="s">
        <v>689</v>
      </c>
      <c r="L64" s="5" t="s">
        <v>690</v>
      </c>
      <c r="M64" s="5" t="s">
        <v>125</v>
      </c>
      <c r="N64" s="5" t="s">
        <v>578</v>
      </c>
    </row>
    <row r="65" customFormat="false" ht="42" hidden="false" customHeight="true" outlineLevel="0" collapsed="false">
      <c r="A65" s="5" t="s">
        <v>686</v>
      </c>
      <c r="B65" s="5" t="s">
        <v>666</v>
      </c>
      <c r="C65" s="5" t="s">
        <v>691</v>
      </c>
      <c r="D65" s="5" t="s">
        <v>688</v>
      </c>
      <c r="E65" s="10" t="n">
        <v>164</v>
      </c>
      <c r="F65" s="10"/>
      <c r="G65" s="10"/>
      <c r="H65" s="10" t="n">
        <v>99</v>
      </c>
      <c r="I65" s="10"/>
      <c r="J65" s="10"/>
      <c r="K65" s="5" t="s">
        <v>689</v>
      </c>
      <c r="L65" s="5" t="s">
        <v>690</v>
      </c>
      <c r="M65" s="5" t="s">
        <v>125</v>
      </c>
      <c r="N65" s="5" t="s">
        <v>578</v>
      </c>
    </row>
    <row r="66" customFormat="false" ht="42" hidden="false" customHeight="true" outlineLevel="0" collapsed="false">
      <c r="A66" s="5" t="s">
        <v>686</v>
      </c>
      <c r="B66" s="5" t="s">
        <v>666</v>
      </c>
      <c r="C66" s="5" t="s">
        <v>692</v>
      </c>
      <c r="D66" s="5" t="s">
        <v>688</v>
      </c>
      <c r="E66" s="10" t="n">
        <v>244</v>
      </c>
      <c r="F66" s="10"/>
      <c r="G66" s="10"/>
      <c r="H66" s="10" t="n">
        <v>142</v>
      </c>
      <c r="I66" s="10"/>
      <c r="J66" s="10"/>
      <c r="K66" s="5" t="s">
        <v>689</v>
      </c>
      <c r="L66" s="5" t="s">
        <v>690</v>
      </c>
      <c r="M66" s="5" t="s">
        <v>125</v>
      </c>
      <c r="N66" s="5" t="s">
        <v>578</v>
      </c>
    </row>
    <row r="67" customFormat="false" ht="42" hidden="false" customHeight="true" outlineLevel="0" collapsed="false">
      <c r="A67" s="5" t="s">
        <v>686</v>
      </c>
      <c r="B67" s="5" t="s">
        <v>666</v>
      </c>
      <c r="C67" s="5" t="s">
        <v>693</v>
      </c>
      <c r="D67" s="5" t="s">
        <v>688</v>
      </c>
      <c r="E67" s="10" t="n">
        <v>315</v>
      </c>
      <c r="F67" s="10" t="n">
        <v>299</v>
      </c>
      <c r="G67" s="10"/>
      <c r="H67" s="10" t="n">
        <v>182</v>
      </c>
      <c r="I67" s="10"/>
      <c r="J67" s="10"/>
      <c r="K67" s="5" t="s">
        <v>689</v>
      </c>
      <c r="L67" s="5" t="s">
        <v>690</v>
      </c>
      <c r="M67" s="5" t="s">
        <v>125</v>
      </c>
      <c r="N67" s="5" t="s">
        <v>578</v>
      </c>
    </row>
    <row r="68" customFormat="false" ht="42" hidden="false" customHeight="true" outlineLevel="0" collapsed="false">
      <c r="A68" s="5" t="s">
        <v>686</v>
      </c>
      <c r="B68" s="5" t="s">
        <v>666</v>
      </c>
      <c r="C68" s="5" t="s">
        <v>694</v>
      </c>
      <c r="D68" s="5" t="s">
        <v>688</v>
      </c>
      <c r="E68" s="10" t="n">
        <v>386</v>
      </c>
      <c r="F68" s="10" t="n">
        <v>354</v>
      </c>
      <c r="G68" s="10"/>
      <c r="H68" s="10" t="n">
        <v>223</v>
      </c>
      <c r="I68" s="10"/>
      <c r="J68" s="10"/>
      <c r="K68" s="5" t="s">
        <v>689</v>
      </c>
      <c r="L68" s="5" t="s">
        <v>690</v>
      </c>
      <c r="M68" s="5" t="s">
        <v>125</v>
      </c>
      <c r="N68" s="5" t="s">
        <v>578</v>
      </c>
    </row>
    <row r="69" customFormat="false" ht="42" hidden="false" customHeight="true" outlineLevel="0" collapsed="false">
      <c r="A69" s="5" t="s">
        <v>686</v>
      </c>
      <c r="B69" s="5" t="s">
        <v>666</v>
      </c>
      <c r="C69" s="5" t="s">
        <v>695</v>
      </c>
      <c r="D69" s="5" t="s">
        <v>688</v>
      </c>
      <c r="E69" s="10" t="n">
        <v>451</v>
      </c>
      <c r="F69" s="10" t="n">
        <v>406</v>
      </c>
      <c r="G69" s="10"/>
      <c r="H69" s="10" t="n">
        <v>257</v>
      </c>
      <c r="I69" s="10"/>
      <c r="J69" s="10"/>
      <c r="K69" s="5" t="s">
        <v>689</v>
      </c>
      <c r="L69" s="5" t="s">
        <v>690</v>
      </c>
      <c r="M69" s="5" t="s">
        <v>125</v>
      </c>
      <c r="N69" s="5" t="s">
        <v>578</v>
      </c>
    </row>
    <row r="70" customFormat="false" ht="42" hidden="false" customHeight="true" outlineLevel="0" collapsed="false">
      <c r="A70" s="5" t="s">
        <v>686</v>
      </c>
      <c r="B70" s="5" t="s">
        <v>666</v>
      </c>
      <c r="C70" s="5" t="s">
        <v>696</v>
      </c>
      <c r="D70" s="5" t="s">
        <v>688</v>
      </c>
      <c r="E70" s="10" t="n">
        <v>492</v>
      </c>
      <c r="F70" s="10" t="n">
        <v>443</v>
      </c>
      <c r="G70" s="10"/>
      <c r="H70" s="10" t="n">
        <v>279</v>
      </c>
      <c r="I70" s="10"/>
      <c r="J70" s="10"/>
      <c r="K70" s="5" t="s">
        <v>689</v>
      </c>
      <c r="L70" s="5" t="s">
        <v>690</v>
      </c>
      <c r="M70" s="5" t="s">
        <v>125</v>
      </c>
      <c r="N70" s="5" t="s">
        <v>578</v>
      </c>
    </row>
    <row r="71" customFormat="false" ht="42" hidden="false" customHeight="true" outlineLevel="0" collapsed="false">
      <c r="A71" s="5" t="s">
        <v>686</v>
      </c>
      <c r="B71" s="5" t="s">
        <v>666</v>
      </c>
      <c r="C71" s="5" t="s">
        <v>697</v>
      </c>
      <c r="D71" s="5" t="s">
        <v>688</v>
      </c>
      <c r="E71" s="10" t="n">
        <v>533</v>
      </c>
      <c r="F71" s="10" t="n">
        <v>480</v>
      </c>
      <c r="G71" s="10"/>
      <c r="H71" s="10" t="n">
        <v>300</v>
      </c>
      <c r="I71" s="10"/>
      <c r="J71" s="10"/>
      <c r="K71" s="5" t="s">
        <v>689</v>
      </c>
      <c r="L71" s="5" t="s">
        <v>690</v>
      </c>
      <c r="M71" s="5" t="s">
        <v>125</v>
      </c>
      <c r="N71" s="5" t="s">
        <v>578</v>
      </c>
    </row>
    <row r="72" customFormat="false" ht="42" hidden="false" customHeight="true" outlineLevel="0" collapsed="false">
      <c r="A72" s="5" t="s">
        <v>686</v>
      </c>
      <c r="B72" s="5" t="s">
        <v>666</v>
      </c>
      <c r="C72" s="5" t="s">
        <v>698</v>
      </c>
      <c r="D72" s="5" t="s">
        <v>688</v>
      </c>
      <c r="E72" s="10" t="n">
        <v>573</v>
      </c>
      <c r="F72" s="10" t="n">
        <v>516</v>
      </c>
      <c r="G72" s="10"/>
      <c r="H72" s="10" t="n">
        <v>329</v>
      </c>
      <c r="I72" s="10"/>
      <c r="J72" s="10"/>
      <c r="K72" s="5" t="s">
        <v>689</v>
      </c>
      <c r="L72" s="5" t="s">
        <v>690</v>
      </c>
      <c r="M72" s="5" t="s">
        <v>125</v>
      </c>
      <c r="N72" s="5" t="s">
        <v>578</v>
      </c>
    </row>
    <row r="73" customFormat="false" ht="42" hidden="false" customHeight="true" outlineLevel="0" collapsed="false">
      <c r="A73" s="5" t="s">
        <v>686</v>
      </c>
      <c r="B73" s="5" t="s">
        <v>666</v>
      </c>
      <c r="C73" s="5" t="s">
        <v>699</v>
      </c>
      <c r="D73" s="5" t="s">
        <v>688</v>
      </c>
      <c r="E73" s="10" t="n">
        <v>616</v>
      </c>
      <c r="F73" s="10" t="n">
        <v>554</v>
      </c>
      <c r="G73" s="10"/>
      <c r="H73" s="10" t="n">
        <v>354</v>
      </c>
      <c r="I73" s="10"/>
      <c r="J73" s="10"/>
      <c r="K73" s="5" t="s">
        <v>689</v>
      </c>
      <c r="L73" s="5" t="s">
        <v>690</v>
      </c>
      <c r="M73" s="5" t="s">
        <v>125</v>
      </c>
      <c r="N73" s="5" t="s">
        <v>578</v>
      </c>
    </row>
    <row r="74" customFormat="false" ht="42" hidden="false" customHeight="true" outlineLevel="0" collapsed="false">
      <c r="A74" s="5" t="s">
        <v>686</v>
      </c>
      <c r="B74" s="5" t="s">
        <v>666</v>
      </c>
      <c r="C74" s="5" t="s">
        <v>700</v>
      </c>
      <c r="D74" s="5" t="s">
        <v>688</v>
      </c>
      <c r="E74" s="10" t="n">
        <v>656</v>
      </c>
      <c r="F74" s="10" t="n">
        <v>590</v>
      </c>
      <c r="G74" s="10"/>
      <c r="H74" s="10" t="n">
        <v>378</v>
      </c>
      <c r="I74" s="10"/>
      <c r="J74" s="10"/>
      <c r="K74" s="5" t="s">
        <v>689</v>
      </c>
      <c r="L74" s="5" t="s">
        <v>690</v>
      </c>
      <c r="M74" s="5" t="s">
        <v>125</v>
      </c>
      <c r="N74" s="5" t="s">
        <v>578</v>
      </c>
    </row>
    <row r="75" customFormat="false" ht="42" hidden="false" customHeight="true" outlineLevel="0" collapsed="false">
      <c r="A75" s="5" t="s">
        <v>686</v>
      </c>
      <c r="B75" s="5" t="s">
        <v>666</v>
      </c>
      <c r="C75" s="5" t="s">
        <v>701</v>
      </c>
      <c r="D75" s="5" t="s">
        <v>688</v>
      </c>
      <c r="E75" s="10" t="n">
        <v>694</v>
      </c>
      <c r="F75" s="10" t="n">
        <v>625</v>
      </c>
      <c r="G75" s="10"/>
      <c r="H75" s="10" t="n">
        <v>400</v>
      </c>
      <c r="I75" s="10"/>
      <c r="J75" s="10"/>
      <c r="K75" s="5" t="s">
        <v>689</v>
      </c>
      <c r="L75" s="5" t="s">
        <v>690</v>
      </c>
      <c r="M75" s="5" t="s">
        <v>125</v>
      </c>
      <c r="N75" s="5" t="s">
        <v>578</v>
      </c>
    </row>
    <row r="76" customFormat="false" ht="42" hidden="false" customHeight="true" outlineLevel="0" collapsed="false">
      <c r="A76" s="5" t="s">
        <v>686</v>
      </c>
      <c r="B76" s="5" t="s">
        <v>666</v>
      </c>
      <c r="C76" s="5" t="s">
        <v>702</v>
      </c>
      <c r="D76" s="5" t="s">
        <v>688</v>
      </c>
      <c r="E76" s="10" t="n">
        <v>731</v>
      </c>
      <c r="F76" s="10" t="n">
        <v>658</v>
      </c>
      <c r="G76" s="10"/>
      <c r="H76" s="10" t="n">
        <v>421</v>
      </c>
      <c r="I76" s="10"/>
      <c r="J76" s="10"/>
      <c r="K76" s="5" t="s">
        <v>689</v>
      </c>
      <c r="L76" s="5" t="s">
        <v>690</v>
      </c>
      <c r="M76" s="5" t="s">
        <v>125</v>
      </c>
      <c r="N76" s="5" t="s">
        <v>578</v>
      </c>
    </row>
    <row r="77" customFormat="false" ht="42" hidden="false" customHeight="true" outlineLevel="0" collapsed="false">
      <c r="A77" s="5" t="s">
        <v>686</v>
      </c>
      <c r="B77" s="5" t="s">
        <v>666</v>
      </c>
      <c r="C77" s="5" t="s">
        <v>703</v>
      </c>
      <c r="D77" s="5" t="s">
        <v>688</v>
      </c>
      <c r="E77" s="10" t="n">
        <v>764</v>
      </c>
      <c r="F77" s="10" t="n">
        <v>688</v>
      </c>
      <c r="G77" s="10"/>
      <c r="H77" s="10" t="n">
        <v>439</v>
      </c>
      <c r="I77" s="10"/>
      <c r="J77" s="10"/>
      <c r="K77" s="5" t="s">
        <v>689</v>
      </c>
      <c r="L77" s="5" t="s">
        <v>690</v>
      </c>
      <c r="M77" s="5" t="s">
        <v>125</v>
      </c>
      <c r="N77" s="5" t="s">
        <v>578</v>
      </c>
    </row>
    <row r="78" customFormat="false" ht="42" hidden="false" customHeight="true" outlineLevel="0" collapsed="false">
      <c r="A78" s="5" t="s">
        <v>686</v>
      </c>
      <c r="B78" s="5" t="s">
        <v>666</v>
      </c>
      <c r="C78" s="5" t="s">
        <v>704</v>
      </c>
      <c r="D78" s="5" t="s">
        <v>688</v>
      </c>
      <c r="E78" s="10" t="n">
        <v>410</v>
      </c>
      <c r="F78" s="10" t="n">
        <v>369</v>
      </c>
      <c r="G78" s="10"/>
      <c r="H78" s="10" t="n">
        <v>229</v>
      </c>
      <c r="I78" s="10"/>
      <c r="J78" s="10"/>
      <c r="K78" s="5" t="s">
        <v>689</v>
      </c>
      <c r="L78" s="5" t="s">
        <v>690</v>
      </c>
      <c r="M78" s="5" t="s">
        <v>125</v>
      </c>
      <c r="N78" s="5" t="s">
        <v>578</v>
      </c>
    </row>
    <row r="79" customFormat="false" ht="42" hidden="false" customHeight="true" outlineLevel="0" collapsed="false">
      <c r="A79" s="5" t="s">
        <v>686</v>
      </c>
      <c r="B79" s="5" t="s">
        <v>666</v>
      </c>
      <c r="C79" s="5" t="s">
        <v>705</v>
      </c>
      <c r="D79" s="5" t="s">
        <v>688</v>
      </c>
      <c r="E79" s="10" t="n">
        <v>670</v>
      </c>
      <c r="F79" s="10" t="n">
        <v>603</v>
      </c>
      <c r="G79" s="10"/>
      <c r="H79" s="10" t="n">
        <v>385</v>
      </c>
      <c r="I79" s="10"/>
      <c r="J79" s="10"/>
      <c r="K79" s="5" t="s">
        <v>689</v>
      </c>
      <c r="L79" s="5" t="s">
        <v>690</v>
      </c>
      <c r="M79" s="5" t="s">
        <v>125</v>
      </c>
      <c r="N79" s="5" t="s">
        <v>578</v>
      </c>
    </row>
    <row r="80" customFormat="false" ht="42" hidden="false" customHeight="true" outlineLevel="0" collapsed="false">
      <c r="A80" s="5" t="s">
        <v>706</v>
      </c>
      <c r="B80" s="5" t="s">
        <v>707</v>
      </c>
      <c r="C80" s="5" t="s">
        <v>708</v>
      </c>
      <c r="D80" s="5" t="s">
        <v>272</v>
      </c>
      <c r="E80" s="10" t="n">
        <v>20</v>
      </c>
      <c r="F80" s="10"/>
      <c r="G80" s="10" t="n">
        <v>17</v>
      </c>
      <c r="H80" s="10" t="n">
        <v>11</v>
      </c>
      <c r="I80" s="10"/>
      <c r="J80" s="10"/>
      <c r="K80" s="5" t="s">
        <v>709</v>
      </c>
      <c r="L80" s="5" t="s">
        <v>710</v>
      </c>
      <c r="M80" s="5" t="s">
        <v>57</v>
      </c>
      <c r="N80" s="5" t="s">
        <v>578</v>
      </c>
    </row>
    <row r="81" customFormat="false" ht="42" hidden="false" customHeight="true" outlineLevel="0" collapsed="false">
      <c r="A81" s="5" t="s">
        <v>706</v>
      </c>
      <c r="B81" s="5" t="s">
        <v>707</v>
      </c>
      <c r="C81" s="5" t="s">
        <v>711</v>
      </c>
      <c r="D81" s="5" t="s">
        <v>272</v>
      </c>
      <c r="E81" s="10" t="n">
        <v>28</v>
      </c>
      <c r="F81" s="10"/>
      <c r="G81" s="10" t="n">
        <v>26.5</v>
      </c>
      <c r="H81" s="10" t="n">
        <v>17.5</v>
      </c>
      <c r="I81" s="10"/>
      <c r="J81" s="10"/>
      <c r="K81" s="5" t="s">
        <v>709</v>
      </c>
      <c r="L81" s="5" t="s">
        <v>710</v>
      </c>
      <c r="M81" s="5" t="s">
        <v>57</v>
      </c>
      <c r="N81" s="5" t="s">
        <v>578</v>
      </c>
    </row>
    <row r="82" customFormat="false" ht="42" hidden="false" customHeight="true" outlineLevel="0" collapsed="false">
      <c r="A82" s="5" t="s">
        <v>706</v>
      </c>
      <c r="B82" s="5" t="s">
        <v>707</v>
      </c>
      <c r="C82" s="5" t="s">
        <v>712</v>
      </c>
      <c r="D82" s="5" t="s">
        <v>272</v>
      </c>
      <c r="E82" s="10" t="n">
        <v>30.5</v>
      </c>
      <c r="F82" s="10"/>
      <c r="G82" s="10" t="n">
        <v>28.5</v>
      </c>
      <c r="H82" s="10" t="n">
        <v>16.5</v>
      </c>
      <c r="I82" s="10"/>
      <c r="J82" s="10"/>
      <c r="K82" s="5" t="s">
        <v>709</v>
      </c>
      <c r="L82" s="5" t="s">
        <v>710</v>
      </c>
      <c r="M82" s="5" t="s">
        <v>57</v>
      </c>
      <c r="N82" s="5" t="s">
        <v>578</v>
      </c>
    </row>
    <row r="83" customFormat="false" ht="42" hidden="false" customHeight="true" outlineLevel="0" collapsed="false">
      <c r="A83" s="5" t="s">
        <v>706</v>
      </c>
      <c r="B83" s="5" t="s">
        <v>707</v>
      </c>
      <c r="C83" s="5" t="s">
        <v>713</v>
      </c>
      <c r="D83" s="5" t="s">
        <v>272</v>
      </c>
      <c r="E83" s="10" t="n">
        <v>34</v>
      </c>
      <c r="F83" s="10"/>
      <c r="G83" s="10" t="n">
        <v>32.5</v>
      </c>
      <c r="H83" s="10" t="n">
        <v>24.5</v>
      </c>
      <c r="I83" s="10"/>
      <c r="J83" s="10"/>
      <c r="K83" s="5" t="s">
        <v>709</v>
      </c>
      <c r="L83" s="5" t="s">
        <v>710</v>
      </c>
      <c r="M83" s="5" t="s">
        <v>57</v>
      </c>
      <c r="N83" s="5" t="s">
        <v>578</v>
      </c>
    </row>
    <row r="84" customFormat="false" ht="42" hidden="false" customHeight="true" outlineLevel="0" collapsed="false">
      <c r="A84" s="5" t="s">
        <v>706</v>
      </c>
      <c r="B84" s="5" t="s">
        <v>707</v>
      </c>
      <c r="C84" s="5" t="s">
        <v>714</v>
      </c>
      <c r="D84" s="5" t="s">
        <v>272</v>
      </c>
      <c r="E84" s="10" t="n">
        <v>32.5</v>
      </c>
      <c r="F84" s="10"/>
      <c r="G84" s="10" t="n">
        <v>31</v>
      </c>
      <c r="H84" s="10" t="n">
        <v>21</v>
      </c>
      <c r="I84" s="10"/>
      <c r="J84" s="10"/>
      <c r="K84" s="5" t="s">
        <v>709</v>
      </c>
      <c r="L84" s="5" t="s">
        <v>710</v>
      </c>
      <c r="M84" s="5" t="s">
        <v>57</v>
      </c>
      <c r="N84" s="5" t="s">
        <v>578</v>
      </c>
    </row>
    <row r="85" customFormat="false" ht="42" hidden="false" customHeight="true" outlineLevel="0" collapsed="false">
      <c r="A85" s="5" t="s">
        <v>706</v>
      </c>
      <c r="B85" s="5" t="s">
        <v>707</v>
      </c>
      <c r="C85" s="5" t="s">
        <v>715</v>
      </c>
      <c r="D85" s="5" t="s">
        <v>272</v>
      </c>
      <c r="E85" s="10" t="n">
        <v>38</v>
      </c>
      <c r="F85" s="10"/>
      <c r="G85" s="10" t="n">
        <v>35.5</v>
      </c>
      <c r="H85" s="10" t="n">
        <v>26.5</v>
      </c>
      <c r="I85" s="10"/>
      <c r="J85" s="10"/>
      <c r="K85" s="5" t="s">
        <v>709</v>
      </c>
      <c r="L85" s="5" t="s">
        <v>710</v>
      </c>
      <c r="M85" s="5" t="s">
        <v>57</v>
      </c>
      <c r="N85" s="5" t="s">
        <v>578</v>
      </c>
    </row>
    <row r="86" customFormat="false" ht="42" hidden="false" customHeight="true" outlineLevel="0" collapsed="false">
      <c r="A86" s="5" t="s">
        <v>706</v>
      </c>
      <c r="B86" s="5" t="s">
        <v>707</v>
      </c>
      <c r="C86" s="5" t="s">
        <v>201</v>
      </c>
      <c r="D86" s="5" t="s">
        <v>272</v>
      </c>
      <c r="E86" s="10" t="n">
        <v>48.5</v>
      </c>
      <c r="F86" s="10"/>
      <c r="G86" s="10" t="n">
        <v>45.5</v>
      </c>
      <c r="H86" s="10" t="n">
        <v>35</v>
      </c>
      <c r="I86" s="10"/>
      <c r="J86" s="10"/>
      <c r="K86" s="5" t="s">
        <v>709</v>
      </c>
      <c r="L86" s="5" t="s">
        <v>710</v>
      </c>
      <c r="M86" s="5" t="s">
        <v>57</v>
      </c>
      <c r="N86" s="5" t="s">
        <v>578</v>
      </c>
    </row>
    <row r="87" customFormat="false" ht="42" hidden="false" customHeight="true" outlineLevel="0" collapsed="false">
      <c r="A87" s="5" t="s">
        <v>706</v>
      </c>
      <c r="B87" s="5" t="s">
        <v>707</v>
      </c>
      <c r="C87" s="5" t="s">
        <v>716</v>
      </c>
      <c r="D87" s="5" t="s">
        <v>272</v>
      </c>
      <c r="E87" s="10" t="n">
        <v>32.5</v>
      </c>
      <c r="F87" s="10"/>
      <c r="G87" s="10" t="n">
        <v>30.5</v>
      </c>
      <c r="H87" s="10" t="n">
        <v>21.5</v>
      </c>
      <c r="I87" s="10"/>
      <c r="J87" s="10"/>
      <c r="K87" s="5" t="s">
        <v>709</v>
      </c>
      <c r="L87" s="5" t="s">
        <v>710</v>
      </c>
      <c r="M87" s="5" t="s">
        <v>57</v>
      </c>
      <c r="N87" s="5" t="s">
        <v>578</v>
      </c>
    </row>
    <row r="88" customFormat="false" ht="42" hidden="false" customHeight="true" outlineLevel="0" collapsed="false">
      <c r="A88" s="5" t="s">
        <v>706</v>
      </c>
      <c r="B88" s="5" t="s">
        <v>707</v>
      </c>
      <c r="C88" s="5" t="s">
        <v>717</v>
      </c>
      <c r="D88" s="5" t="s">
        <v>272</v>
      </c>
      <c r="E88" s="10" t="n">
        <v>42</v>
      </c>
      <c r="F88" s="10"/>
      <c r="G88" s="10" t="n">
        <v>39.5</v>
      </c>
      <c r="H88" s="10" t="n">
        <v>30.5</v>
      </c>
      <c r="I88" s="10"/>
      <c r="J88" s="10"/>
      <c r="K88" s="5" t="s">
        <v>709</v>
      </c>
      <c r="L88" s="5" t="s">
        <v>710</v>
      </c>
      <c r="M88" s="5" t="s">
        <v>57</v>
      </c>
      <c r="N88" s="5" t="s">
        <v>578</v>
      </c>
    </row>
    <row r="89" customFormat="false" ht="42" hidden="false" customHeight="true" outlineLevel="0" collapsed="false">
      <c r="A89" s="5" t="s">
        <v>231</v>
      </c>
      <c r="B89" s="5" t="s">
        <v>666</v>
      </c>
      <c r="C89" s="5" t="s">
        <v>718</v>
      </c>
      <c r="D89" s="5" t="s">
        <v>719</v>
      </c>
      <c r="E89" s="10" t="n">
        <v>64.2</v>
      </c>
      <c r="F89" s="10" t="n">
        <v>51.4</v>
      </c>
      <c r="G89" s="10" t="n">
        <v>41.7</v>
      </c>
      <c r="H89" s="10" t="n">
        <v>32.1</v>
      </c>
      <c r="I89" s="10"/>
      <c r="J89" s="10"/>
      <c r="K89" s="5" t="s">
        <v>720</v>
      </c>
      <c r="L89" s="5" t="s">
        <v>721</v>
      </c>
      <c r="M89" s="5" t="s">
        <v>233</v>
      </c>
      <c r="N89" s="5" t="s">
        <v>722</v>
      </c>
    </row>
    <row r="90" customFormat="false" ht="36" hidden="false" customHeight="true" outlineLevel="0" collapsed="false">
      <c r="A90" s="12" t="s">
        <v>46</v>
      </c>
      <c r="B90" s="12" t="s">
        <v>666</v>
      </c>
      <c r="C90" s="12" t="s">
        <v>723</v>
      </c>
      <c r="D90" s="12" t="s">
        <v>724</v>
      </c>
      <c r="E90" s="13" t="n">
        <v>50.5</v>
      </c>
      <c r="F90" s="13"/>
      <c r="G90" s="13" t="n">
        <v>40.5</v>
      </c>
      <c r="H90" s="13" t="n">
        <v>28</v>
      </c>
      <c r="I90" s="13"/>
      <c r="J90" s="13"/>
      <c r="K90" s="12" t="s">
        <v>725</v>
      </c>
      <c r="L90" s="12" t="s">
        <v>29</v>
      </c>
      <c r="M90" s="12" t="s">
        <v>52</v>
      </c>
      <c r="N90" s="12" t="s">
        <v>726</v>
      </c>
    </row>
    <row r="91" customFormat="false" ht="36" hidden="false" customHeight="true" outlineLevel="0" collapsed="false">
      <c r="A91" s="12" t="s">
        <v>46</v>
      </c>
      <c r="B91" s="12" t="s">
        <v>666</v>
      </c>
      <c r="C91" s="12" t="s">
        <v>727</v>
      </c>
      <c r="D91" s="12" t="s">
        <v>728</v>
      </c>
      <c r="E91" s="13" t="n">
        <v>66.5</v>
      </c>
      <c r="F91" s="13"/>
      <c r="G91" s="13" t="n">
        <v>53</v>
      </c>
      <c r="H91" s="13" t="n">
        <v>36.5</v>
      </c>
      <c r="I91" s="13"/>
      <c r="J91" s="13"/>
      <c r="K91" s="12" t="s">
        <v>729</v>
      </c>
      <c r="L91" s="12" t="s">
        <v>29</v>
      </c>
      <c r="M91" s="12" t="s">
        <v>52</v>
      </c>
      <c r="N91" s="12" t="s">
        <v>726</v>
      </c>
    </row>
    <row r="92" customFormat="false" ht="36" hidden="false" customHeight="true" outlineLevel="0" collapsed="false">
      <c r="A92" s="12" t="s">
        <v>730</v>
      </c>
      <c r="B92" s="12" t="s">
        <v>666</v>
      </c>
      <c r="C92" s="12" t="s">
        <v>731</v>
      </c>
      <c r="D92" s="12" t="s">
        <v>732</v>
      </c>
      <c r="E92" s="13" t="n">
        <v>98.5</v>
      </c>
      <c r="F92" s="13"/>
      <c r="G92" s="13" t="n">
        <v>79</v>
      </c>
      <c r="H92" s="13" t="n">
        <v>54</v>
      </c>
      <c r="I92" s="13"/>
      <c r="J92" s="13"/>
      <c r="K92" s="12" t="s">
        <v>733</v>
      </c>
      <c r="L92" s="12" t="s">
        <v>29</v>
      </c>
      <c r="M92" s="12" t="s">
        <v>52</v>
      </c>
      <c r="N92" s="12" t="s">
        <v>726</v>
      </c>
    </row>
    <row r="93" customFormat="false" ht="36" hidden="false" customHeight="true" outlineLevel="0" collapsed="false">
      <c r="A93" s="12" t="s">
        <v>730</v>
      </c>
      <c r="B93" s="12" t="s">
        <v>666</v>
      </c>
      <c r="C93" s="12" t="s">
        <v>734</v>
      </c>
      <c r="D93" s="12" t="s">
        <v>732</v>
      </c>
      <c r="E93" s="13" t="n">
        <v>147</v>
      </c>
      <c r="F93" s="13"/>
      <c r="G93" s="13" t="n">
        <v>118</v>
      </c>
      <c r="H93" s="13" t="n">
        <v>81</v>
      </c>
      <c r="I93" s="13"/>
      <c r="J93" s="13"/>
      <c r="K93" s="12" t="s">
        <v>733</v>
      </c>
      <c r="L93" s="12" t="s">
        <v>29</v>
      </c>
      <c r="M93" s="12" t="s">
        <v>52</v>
      </c>
      <c r="N93" s="12" t="s">
        <v>726</v>
      </c>
    </row>
    <row r="94" customFormat="false" ht="36" hidden="false" customHeight="true" outlineLevel="0" collapsed="false">
      <c r="A94" s="12" t="s">
        <v>730</v>
      </c>
      <c r="B94" s="12" t="s">
        <v>666</v>
      </c>
      <c r="C94" s="12" t="s">
        <v>735</v>
      </c>
      <c r="D94" s="12" t="s">
        <v>732</v>
      </c>
      <c r="E94" s="13" t="n">
        <v>191.5</v>
      </c>
      <c r="F94" s="13"/>
      <c r="G94" s="13" t="n">
        <v>153.5</v>
      </c>
      <c r="H94" s="13" t="n">
        <v>105.5</v>
      </c>
      <c r="I94" s="13"/>
      <c r="J94" s="13"/>
      <c r="K94" s="12" t="s">
        <v>733</v>
      </c>
      <c r="L94" s="12" t="s">
        <v>29</v>
      </c>
      <c r="M94" s="12" t="s">
        <v>52</v>
      </c>
      <c r="N94" s="12" t="s">
        <v>726</v>
      </c>
    </row>
    <row r="95" customFormat="false" ht="36" hidden="false" customHeight="true" outlineLevel="0" collapsed="false">
      <c r="A95" s="12" t="s">
        <v>730</v>
      </c>
      <c r="B95" s="12" t="s">
        <v>666</v>
      </c>
      <c r="C95" s="12" t="s">
        <v>736</v>
      </c>
      <c r="D95" s="12" t="s">
        <v>732</v>
      </c>
      <c r="E95" s="13" t="n">
        <v>232</v>
      </c>
      <c r="F95" s="13"/>
      <c r="G95" s="13" t="n">
        <v>185</v>
      </c>
      <c r="H95" s="13" t="n">
        <v>127.5</v>
      </c>
      <c r="I95" s="13"/>
      <c r="J95" s="13"/>
      <c r="K95" s="12" t="s">
        <v>733</v>
      </c>
      <c r="L95" s="12" t="s">
        <v>29</v>
      </c>
      <c r="M95" s="12" t="s">
        <v>52</v>
      </c>
      <c r="N95" s="12" t="s">
        <v>726</v>
      </c>
    </row>
    <row r="96" customFormat="false" ht="36" hidden="false" customHeight="true" outlineLevel="0" collapsed="false">
      <c r="A96" s="12" t="s">
        <v>730</v>
      </c>
      <c r="B96" s="12" t="s">
        <v>666</v>
      </c>
      <c r="C96" s="12" t="s">
        <v>737</v>
      </c>
      <c r="D96" s="12" t="s">
        <v>732</v>
      </c>
      <c r="E96" s="13" t="n">
        <v>269</v>
      </c>
      <c r="F96" s="13"/>
      <c r="G96" s="13" t="n">
        <v>215</v>
      </c>
      <c r="H96" s="13" t="n">
        <v>148</v>
      </c>
      <c r="I96" s="13"/>
      <c r="J96" s="13"/>
      <c r="K96" s="12" t="s">
        <v>733</v>
      </c>
      <c r="L96" s="12" t="s">
        <v>29</v>
      </c>
      <c r="M96" s="12" t="s">
        <v>52</v>
      </c>
      <c r="N96" s="12" t="s">
        <v>726</v>
      </c>
    </row>
    <row r="97" customFormat="false" ht="36" hidden="false" customHeight="true" outlineLevel="0" collapsed="false">
      <c r="A97" s="12" t="s">
        <v>730</v>
      </c>
      <c r="B97" s="12" t="s">
        <v>666</v>
      </c>
      <c r="C97" s="12" t="s">
        <v>738</v>
      </c>
      <c r="D97" s="12" t="s">
        <v>732</v>
      </c>
      <c r="E97" s="13" t="n">
        <v>303</v>
      </c>
      <c r="F97" s="13"/>
      <c r="G97" s="13" t="n">
        <v>242.5</v>
      </c>
      <c r="H97" s="13" t="n">
        <v>166.5</v>
      </c>
      <c r="I97" s="13"/>
      <c r="J97" s="13"/>
      <c r="K97" s="12" t="s">
        <v>733</v>
      </c>
      <c r="L97" s="12" t="s">
        <v>29</v>
      </c>
      <c r="M97" s="12" t="s">
        <v>52</v>
      </c>
      <c r="N97" s="12" t="s">
        <v>726</v>
      </c>
    </row>
    <row r="98" customFormat="false" ht="36" hidden="false" customHeight="true" outlineLevel="0" collapsed="false">
      <c r="A98" s="12" t="s">
        <v>730</v>
      </c>
      <c r="B98" s="12" t="s">
        <v>666</v>
      </c>
      <c r="C98" s="12" t="s">
        <v>739</v>
      </c>
      <c r="D98" s="12" t="s">
        <v>732</v>
      </c>
      <c r="E98" s="13" t="n">
        <v>339</v>
      </c>
      <c r="F98" s="13"/>
      <c r="G98" s="13" t="n">
        <v>271</v>
      </c>
      <c r="H98" s="13" t="n">
        <v>186.5</v>
      </c>
      <c r="I98" s="13"/>
      <c r="J98" s="13"/>
      <c r="K98" s="12" t="s">
        <v>733</v>
      </c>
      <c r="L98" s="12" t="s">
        <v>29</v>
      </c>
      <c r="M98" s="12" t="s">
        <v>52</v>
      </c>
      <c r="N98" s="12" t="s">
        <v>726</v>
      </c>
    </row>
    <row r="99" customFormat="false" ht="36" hidden="false" customHeight="true" outlineLevel="0" collapsed="false">
      <c r="A99" s="12" t="s">
        <v>189</v>
      </c>
      <c r="B99" s="12" t="s">
        <v>666</v>
      </c>
      <c r="C99" s="12" t="s">
        <v>670</v>
      </c>
      <c r="D99" s="12" t="s">
        <v>668</v>
      </c>
      <c r="E99" s="13" t="n">
        <v>85</v>
      </c>
      <c r="F99" s="13" t="n">
        <v>78</v>
      </c>
      <c r="G99" s="13" t="n">
        <v>78</v>
      </c>
      <c r="H99" s="13" t="n">
        <v>51</v>
      </c>
      <c r="I99" s="13"/>
      <c r="J99" s="13"/>
      <c r="K99" s="12" t="s">
        <v>740</v>
      </c>
      <c r="L99" s="12" t="s">
        <v>29</v>
      </c>
      <c r="M99" s="12" t="s">
        <v>675</v>
      </c>
      <c r="N99" s="12" t="s">
        <v>676</v>
      </c>
    </row>
    <row r="100" customFormat="false" ht="36" hidden="false" customHeight="true" outlineLevel="0" collapsed="false">
      <c r="A100" s="12" t="s">
        <v>189</v>
      </c>
      <c r="B100" s="12" t="s">
        <v>666</v>
      </c>
      <c r="C100" s="12" t="s">
        <v>671</v>
      </c>
      <c r="D100" s="12" t="s">
        <v>668</v>
      </c>
      <c r="E100" s="13" t="n">
        <v>168</v>
      </c>
      <c r="F100" s="13" t="n">
        <v>154</v>
      </c>
      <c r="G100" s="13" t="n">
        <v>154</v>
      </c>
      <c r="H100" s="13" t="n">
        <v>101</v>
      </c>
      <c r="I100" s="13"/>
      <c r="J100" s="13"/>
      <c r="K100" s="12" t="s">
        <v>740</v>
      </c>
      <c r="L100" s="12" t="s">
        <v>29</v>
      </c>
      <c r="M100" s="12" t="s">
        <v>675</v>
      </c>
      <c r="N100" s="12" t="s">
        <v>676</v>
      </c>
    </row>
    <row r="101" customFormat="false" ht="36" hidden="false" customHeight="true" outlineLevel="0" collapsed="false">
      <c r="A101" s="12" t="s">
        <v>189</v>
      </c>
      <c r="B101" s="12" t="s">
        <v>666</v>
      </c>
      <c r="C101" s="12" t="s">
        <v>672</v>
      </c>
      <c r="D101" s="12" t="s">
        <v>668</v>
      </c>
      <c r="E101" s="13" t="n">
        <v>251</v>
      </c>
      <c r="F101" s="13" t="n">
        <v>228</v>
      </c>
      <c r="G101" s="13" t="n">
        <v>228</v>
      </c>
      <c r="H101" s="13" t="n">
        <v>148</v>
      </c>
      <c r="I101" s="13"/>
      <c r="J101" s="13"/>
      <c r="K101" s="12" t="s">
        <v>740</v>
      </c>
      <c r="L101" s="12" t="s">
        <v>29</v>
      </c>
      <c r="M101" s="12" t="s">
        <v>675</v>
      </c>
      <c r="N101" s="12" t="s">
        <v>676</v>
      </c>
    </row>
    <row r="102" customFormat="false" ht="36" hidden="false" customHeight="true" outlineLevel="0" collapsed="false">
      <c r="A102" s="12" t="s">
        <v>189</v>
      </c>
      <c r="B102" s="12" t="s">
        <v>666</v>
      </c>
      <c r="C102" s="12" t="s">
        <v>741</v>
      </c>
      <c r="D102" s="12" t="s">
        <v>668</v>
      </c>
      <c r="E102" s="13" t="n">
        <v>331</v>
      </c>
      <c r="F102" s="13" t="n">
        <v>294</v>
      </c>
      <c r="G102" s="13" t="n">
        <v>294</v>
      </c>
      <c r="H102" s="13" t="n">
        <v>193</v>
      </c>
      <c r="I102" s="13"/>
      <c r="J102" s="13"/>
      <c r="K102" s="12" t="s">
        <v>740</v>
      </c>
      <c r="L102" s="12" t="s">
        <v>29</v>
      </c>
      <c r="M102" s="12" t="s">
        <v>675</v>
      </c>
      <c r="N102" s="12" t="s">
        <v>676</v>
      </c>
    </row>
    <row r="103" customFormat="false" ht="36" hidden="false" customHeight="true" outlineLevel="0" collapsed="false">
      <c r="A103" s="12" t="s">
        <v>189</v>
      </c>
      <c r="B103" s="12" t="s">
        <v>666</v>
      </c>
      <c r="C103" s="12" t="s">
        <v>673</v>
      </c>
      <c r="D103" s="12" t="s">
        <v>668</v>
      </c>
      <c r="E103" s="13" t="n">
        <v>405</v>
      </c>
      <c r="F103" s="13" t="n">
        <v>356</v>
      </c>
      <c r="G103" s="13" t="n">
        <v>356</v>
      </c>
      <c r="H103" s="13" t="n">
        <v>235</v>
      </c>
      <c r="I103" s="13"/>
      <c r="J103" s="13"/>
      <c r="K103" s="12" t="s">
        <v>740</v>
      </c>
      <c r="L103" s="12" t="s">
        <v>29</v>
      </c>
      <c r="M103" s="12" t="s">
        <v>675</v>
      </c>
      <c r="N103" s="12" t="s">
        <v>676</v>
      </c>
    </row>
    <row r="104" customFormat="false" ht="36" hidden="false" customHeight="true" outlineLevel="0" collapsed="false">
      <c r="A104" s="12" t="s">
        <v>189</v>
      </c>
      <c r="B104" s="12" t="s">
        <v>666</v>
      </c>
      <c r="C104" s="12" t="s">
        <v>677</v>
      </c>
      <c r="D104" s="12" t="s">
        <v>668</v>
      </c>
      <c r="E104" s="13" t="n">
        <v>468</v>
      </c>
      <c r="F104" s="13" t="n">
        <v>405</v>
      </c>
      <c r="G104" s="13" t="n">
        <v>405</v>
      </c>
      <c r="H104" s="13" t="n">
        <v>276</v>
      </c>
      <c r="I104" s="13"/>
      <c r="J104" s="13"/>
      <c r="K104" s="12" t="s">
        <v>740</v>
      </c>
      <c r="L104" s="12" t="s">
        <v>29</v>
      </c>
      <c r="M104" s="12" t="s">
        <v>675</v>
      </c>
      <c r="N104" s="12" t="s">
        <v>676</v>
      </c>
    </row>
    <row r="105" customFormat="false" ht="36" hidden="false" customHeight="true" outlineLevel="0" collapsed="false">
      <c r="A105" s="12" t="s">
        <v>189</v>
      </c>
      <c r="B105" s="12" t="s">
        <v>666</v>
      </c>
      <c r="C105" s="12" t="s">
        <v>678</v>
      </c>
      <c r="D105" s="12" t="s">
        <v>668</v>
      </c>
      <c r="E105" s="13" t="n">
        <v>526</v>
      </c>
      <c r="F105" s="13" t="n">
        <v>453</v>
      </c>
      <c r="G105" s="13" t="n">
        <v>453</v>
      </c>
      <c r="H105" s="13" t="n">
        <v>311</v>
      </c>
      <c r="I105" s="13"/>
      <c r="J105" s="13"/>
      <c r="K105" s="12" t="s">
        <v>740</v>
      </c>
      <c r="L105" s="12" t="s">
        <v>29</v>
      </c>
      <c r="M105" s="12" t="s">
        <v>675</v>
      </c>
      <c r="N105" s="12" t="s">
        <v>676</v>
      </c>
    </row>
    <row r="106" customFormat="false" ht="36" hidden="false" customHeight="true" outlineLevel="0" collapsed="false">
      <c r="A106" s="12" t="s">
        <v>189</v>
      </c>
      <c r="B106" s="12" t="s">
        <v>666</v>
      </c>
      <c r="C106" s="12" t="s">
        <v>679</v>
      </c>
      <c r="D106" s="12" t="s">
        <v>668</v>
      </c>
      <c r="E106" s="13" t="n">
        <v>580</v>
      </c>
      <c r="F106" s="13" t="n">
        <v>498</v>
      </c>
      <c r="G106" s="13" t="n">
        <v>498</v>
      </c>
      <c r="H106" s="13" t="n">
        <v>341</v>
      </c>
      <c r="I106" s="13"/>
      <c r="J106" s="13"/>
      <c r="K106" s="12" t="s">
        <v>740</v>
      </c>
      <c r="L106" s="12" t="s">
        <v>29</v>
      </c>
      <c r="M106" s="12" t="s">
        <v>675</v>
      </c>
      <c r="N106" s="12" t="s">
        <v>676</v>
      </c>
    </row>
    <row r="107" customFormat="false" ht="36" hidden="false" customHeight="true" outlineLevel="0" collapsed="false">
      <c r="A107" s="12" t="s">
        <v>189</v>
      </c>
      <c r="B107" s="12" t="s">
        <v>666</v>
      </c>
      <c r="C107" s="12" t="s">
        <v>680</v>
      </c>
      <c r="D107" s="12" t="s">
        <v>668</v>
      </c>
      <c r="E107" s="13" t="n">
        <v>634</v>
      </c>
      <c r="F107" s="13" t="n">
        <v>546</v>
      </c>
      <c r="G107" s="13" t="n">
        <v>546</v>
      </c>
      <c r="H107" s="13" t="n">
        <v>372</v>
      </c>
      <c r="I107" s="13"/>
      <c r="J107" s="13"/>
      <c r="K107" s="12" t="s">
        <v>740</v>
      </c>
      <c r="L107" s="12" t="s">
        <v>29</v>
      </c>
      <c r="M107" s="12" t="s">
        <v>675</v>
      </c>
      <c r="N107" s="12" t="s">
        <v>676</v>
      </c>
    </row>
    <row r="108" customFormat="false" ht="36" hidden="false" customHeight="true" outlineLevel="0" collapsed="false">
      <c r="A108" s="12" t="s">
        <v>189</v>
      </c>
      <c r="B108" s="12" t="s">
        <v>666</v>
      </c>
      <c r="C108" s="12" t="s">
        <v>681</v>
      </c>
      <c r="D108" s="12" t="s">
        <v>668</v>
      </c>
      <c r="E108" s="13" t="n">
        <v>684</v>
      </c>
      <c r="F108" s="13" t="n">
        <v>590</v>
      </c>
      <c r="G108" s="13" t="n">
        <v>590</v>
      </c>
      <c r="H108" s="13" t="n">
        <v>402</v>
      </c>
      <c r="I108" s="13"/>
      <c r="J108" s="13"/>
      <c r="K108" s="12" t="s">
        <v>740</v>
      </c>
      <c r="L108" s="12" t="s">
        <v>29</v>
      </c>
      <c r="M108" s="12" t="s">
        <v>675</v>
      </c>
      <c r="N108" s="12" t="s">
        <v>676</v>
      </c>
    </row>
    <row r="109" customFormat="false" ht="36" hidden="false" customHeight="true" outlineLevel="0" collapsed="false">
      <c r="A109" s="12" t="s">
        <v>189</v>
      </c>
      <c r="B109" s="12" t="s">
        <v>666</v>
      </c>
      <c r="C109" s="12" t="s">
        <v>599</v>
      </c>
      <c r="D109" s="12" t="s">
        <v>77</v>
      </c>
      <c r="E109" s="13" t="n">
        <v>1272</v>
      </c>
      <c r="F109" s="13" t="n">
        <v>1086</v>
      </c>
      <c r="G109" s="13" t="n">
        <v>1086</v>
      </c>
      <c r="H109" s="13" t="n">
        <v>733</v>
      </c>
      <c r="I109" s="13"/>
      <c r="J109" s="13"/>
      <c r="K109" s="12" t="s">
        <v>740</v>
      </c>
      <c r="L109" s="12" t="s">
        <v>29</v>
      </c>
      <c r="M109" s="12" t="s">
        <v>675</v>
      </c>
      <c r="N109" s="12" t="s">
        <v>676</v>
      </c>
    </row>
    <row r="110" customFormat="false" ht="36" hidden="false" customHeight="true" outlineLevel="0" collapsed="false">
      <c r="A110" s="12" t="s">
        <v>686</v>
      </c>
      <c r="B110" s="12" t="s">
        <v>666</v>
      </c>
      <c r="C110" s="12" t="s">
        <v>742</v>
      </c>
      <c r="D110" s="12" t="s">
        <v>690</v>
      </c>
      <c r="E110" s="13" t="n">
        <v>83</v>
      </c>
      <c r="F110" s="13" t="n">
        <v>83</v>
      </c>
      <c r="G110" s="13"/>
      <c r="H110" s="13" t="n">
        <v>51</v>
      </c>
      <c r="I110" s="13"/>
      <c r="J110" s="13"/>
      <c r="K110" s="12" t="s">
        <v>743</v>
      </c>
      <c r="L110" s="12" t="s">
        <v>29</v>
      </c>
      <c r="M110" s="12" t="s">
        <v>129</v>
      </c>
      <c r="N110" s="12" t="s">
        <v>726</v>
      </c>
    </row>
    <row r="111" customFormat="false" ht="36" hidden="false" customHeight="true" outlineLevel="0" collapsed="false">
      <c r="A111" s="12" t="s">
        <v>686</v>
      </c>
      <c r="B111" s="12" t="s">
        <v>666</v>
      </c>
      <c r="C111" s="12" t="s">
        <v>744</v>
      </c>
      <c r="D111" s="12" t="s">
        <v>690</v>
      </c>
      <c r="E111" s="13" t="n">
        <v>164</v>
      </c>
      <c r="F111" s="13" t="n">
        <v>164</v>
      </c>
      <c r="G111" s="13"/>
      <c r="H111" s="13" t="n">
        <v>99</v>
      </c>
      <c r="I111" s="13"/>
      <c r="J111" s="13"/>
      <c r="K111" s="12" t="s">
        <v>743</v>
      </c>
      <c r="L111" s="12" t="s">
        <v>29</v>
      </c>
      <c r="M111" s="12" t="s">
        <v>129</v>
      </c>
      <c r="N111" s="12" t="s">
        <v>726</v>
      </c>
    </row>
    <row r="112" customFormat="false" ht="36" hidden="false" customHeight="true" outlineLevel="0" collapsed="false">
      <c r="A112" s="12" t="s">
        <v>686</v>
      </c>
      <c r="B112" s="12" t="s">
        <v>666</v>
      </c>
      <c r="C112" s="12" t="s">
        <v>745</v>
      </c>
      <c r="D112" s="12" t="s">
        <v>690</v>
      </c>
      <c r="E112" s="13" t="n">
        <v>244</v>
      </c>
      <c r="F112" s="13" t="n">
        <v>244</v>
      </c>
      <c r="G112" s="13"/>
      <c r="H112" s="13" t="n">
        <v>142</v>
      </c>
      <c r="I112" s="13"/>
      <c r="J112" s="13"/>
      <c r="K112" s="12" t="s">
        <v>743</v>
      </c>
      <c r="L112" s="12" t="s">
        <v>29</v>
      </c>
      <c r="M112" s="12" t="s">
        <v>129</v>
      </c>
      <c r="N112" s="12" t="s">
        <v>726</v>
      </c>
    </row>
    <row r="113" customFormat="false" ht="36" hidden="false" customHeight="true" outlineLevel="0" collapsed="false">
      <c r="A113" s="12" t="s">
        <v>686</v>
      </c>
      <c r="B113" s="12" t="s">
        <v>666</v>
      </c>
      <c r="C113" s="12" t="s">
        <v>746</v>
      </c>
      <c r="D113" s="12" t="s">
        <v>690</v>
      </c>
      <c r="E113" s="13" t="n">
        <v>315</v>
      </c>
      <c r="F113" s="13" t="n">
        <v>299</v>
      </c>
      <c r="G113" s="13"/>
      <c r="H113" s="13" t="n">
        <v>182</v>
      </c>
      <c r="I113" s="13"/>
      <c r="J113" s="13"/>
      <c r="K113" s="12" t="s">
        <v>743</v>
      </c>
      <c r="L113" s="12" t="s">
        <v>29</v>
      </c>
      <c r="M113" s="12" t="s">
        <v>129</v>
      </c>
      <c r="N113" s="12" t="s">
        <v>726</v>
      </c>
    </row>
    <row r="114" customFormat="false" ht="36" hidden="false" customHeight="true" outlineLevel="0" collapsed="false">
      <c r="A114" s="12" t="s">
        <v>686</v>
      </c>
      <c r="B114" s="12" t="s">
        <v>666</v>
      </c>
      <c r="C114" s="12" t="s">
        <v>747</v>
      </c>
      <c r="D114" s="12" t="s">
        <v>690</v>
      </c>
      <c r="E114" s="13" t="n">
        <v>386</v>
      </c>
      <c r="F114" s="13" t="n">
        <v>354</v>
      </c>
      <c r="G114" s="13"/>
      <c r="H114" s="13" t="n">
        <v>223</v>
      </c>
      <c r="I114" s="13"/>
      <c r="J114" s="13"/>
      <c r="K114" s="12" t="s">
        <v>743</v>
      </c>
      <c r="L114" s="12" t="s">
        <v>29</v>
      </c>
      <c r="M114" s="12" t="s">
        <v>129</v>
      </c>
      <c r="N114" s="12" t="s">
        <v>726</v>
      </c>
    </row>
    <row r="115" customFormat="false" ht="36" hidden="false" customHeight="true" outlineLevel="0" collapsed="false">
      <c r="A115" s="12" t="s">
        <v>686</v>
      </c>
      <c r="B115" s="12" t="s">
        <v>666</v>
      </c>
      <c r="C115" s="12" t="s">
        <v>748</v>
      </c>
      <c r="D115" s="12" t="s">
        <v>690</v>
      </c>
      <c r="E115" s="13" t="n">
        <v>451</v>
      </c>
      <c r="F115" s="13" t="n">
        <v>406</v>
      </c>
      <c r="G115" s="13"/>
      <c r="H115" s="13" t="n">
        <v>257</v>
      </c>
      <c r="I115" s="13"/>
      <c r="J115" s="13"/>
      <c r="K115" s="12" t="s">
        <v>743</v>
      </c>
      <c r="L115" s="12" t="s">
        <v>29</v>
      </c>
      <c r="M115" s="12" t="s">
        <v>129</v>
      </c>
      <c r="N115" s="12" t="s">
        <v>726</v>
      </c>
    </row>
    <row r="116" customFormat="false" ht="36" hidden="false" customHeight="true" outlineLevel="0" collapsed="false">
      <c r="A116" s="12" t="s">
        <v>686</v>
      </c>
      <c r="B116" s="12" t="s">
        <v>666</v>
      </c>
      <c r="C116" s="12" t="s">
        <v>749</v>
      </c>
      <c r="D116" s="12" t="s">
        <v>690</v>
      </c>
      <c r="E116" s="13" t="n">
        <v>492</v>
      </c>
      <c r="F116" s="13" t="n">
        <v>443</v>
      </c>
      <c r="G116" s="13"/>
      <c r="H116" s="13" t="n">
        <v>279</v>
      </c>
      <c r="I116" s="13"/>
      <c r="J116" s="13"/>
      <c r="K116" s="12" t="s">
        <v>743</v>
      </c>
      <c r="L116" s="12" t="s">
        <v>29</v>
      </c>
      <c r="M116" s="12" t="s">
        <v>129</v>
      </c>
      <c r="N116" s="12" t="s">
        <v>726</v>
      </c>
    </row>
    <row r="117" customFormat="false" ht="36" hidden="false" customHeight="true" outlineLevel="0" collapsed="false">
      <c r="A117" s="12" t="s">
        <v>686</v>
      </c>
      <c r="B117" s="12" t="s">
        <v>666</v>
      </c>
      <c r="C117" s="12" t="s">
        <v>750</v>
      </c>
      <c r="D117" s="12" t="s">
        <v>690</v>
      </c>
      <c r="E117" s="13" t="n">
        <v>533</v>
      </c>
      <c r="F117" s="13" t="n">
        <v>480</v>
      </c>
      <c r="G117" s="13"/>
      <c r="H117" s="13" t="n">
        <v>300</v>
      </c>
      <c r="I117" s="13"/>
      <c r="J117" s="13"/>
      <c r="K117" s="12" t="s">
        <v>743</v>
      </c>
      <c r="L117" s="12" t="s">
        <v>29</v>
      </c>
      <c r="M117" s="12" t="s">
        <v>129</v>
      </c>
      <c r="N117" s="12" t="s">
        <v>726</v>
      </c>
    </row>
    <row r="118" customFormat="false" ht="36" hidden="false" customHeight="true" outlineLevel="0" collapsed="false">
      <c r="A118" s="12" t="s">
        <v>686</v>
      </c>
      <c r="B118" s="12" t="s">
        <v>666</v>
      </c>
      <c r="C118" s="12" t="s">
        <v>751</v>
      </c>
      <c r="D118" s="12" t="s">
        <v>690</v>
      </c>
      <c r="E118" s="13" t="n">
        <v>573</v>
      </c>
      <c r="F118" s="13" t="n">
        <v>516</v>
      </c>
      <c r="G118" s="13"/>
      <c r="H118" s="13" t="n">
        <v>329</v>
      </c>
      <c r="I118" s="13"/>
      <c r="J118" s="13"/>
      <c r="K118" s="12" t="s">
        <v>743</v>
      </c>
      <c r="L118" s="12" t="s">
        <v>29</v>
      </c>
      <c r="M118" s="12" t="s">
        <v>129</v>
      </c>
      <c r="N118" s="12" t="s">
        <v>726</v>
      </c>
    </row>
    <row r="119" customFormat="false" ht="36" hidden="false" customHeight="true" outlineLevel="0" collapsed="false">
      <c r="A119" s="12" t="s">
        <v>686</v>
      </c>
      <c r="B119" s="12" t="s">
        <v>666</v>
      </c>
      <c r="C119" s="12" t="s">
        <v>752</v>
      </c>
      <c r="D119" s="12" t="s">
        <v>690</v>
      </c>
      <c r="E119" s="13" t="n">
        <v>616</v>
      </c>
      <c r="F119" s="13" t="n">
        <v>554</v>
      </c>
      <c r="G119" s="13"/>
      <c r="H119" s="13" t="n">
        <v>354</v>
      </c>
      <c r="I119" s="13"/>
      <c r="J119" s="13"/>
      <c r="K119" s="12" t="s">
        <v>743</v>
      </c>
      <c r="L119" s="12" t="s">
        <v>29</v>
      </c>
      <c r="M119" s="12" t="s">
        <v>129</v>
      </c>
      <c r="N119" s="12" t="s">
        <v>726</v>
      </c>
    </row>
    <row r="120" customFormat="false" ht="36" hidden="false" customHeight="true" outlineLevel="0" collapsed="false">
      <c r="A120" s="12" t="s">
        <v>686</v>
      </c>
      <c r="B120" s="12" t="s">
        <v>666</v>
      </c>
      <c r="C120" s="12" t="s">
        <v>753</v>
      </c>
      <c r="D120" s="12" t="s">
        <v>690</v>
      </c>
      <c r="E120" s="13" t="n">
        <v>656</v>
      </c>
      <c r="F120" s="13" t="n">
        <v>590</v>
      </c>
      <c r="G120" s="13"/>
      <c r="H120" s="13" t="n">
        <v>378</v>
      </c>
      <c r="I120" s="13"/>
      <c r="J120" s="13"/>
      <c r="K120" s="12" t="s">
        <v>743</v>
      </c>
      <c r="L120" s="12" t="s">
        <v>29</v>
      </c>
      <c r="M120" s="12" t="s">
        <v>129</v>
      </c>
      <c r="N120" s="12" t="s">
        <v>726</v>
      </c>
    </row>
    <row r="121" customFormat="false" ht="36" hidden="false" customHeight="true" outlineLevel="0" collapsed="false">
      <c r="A121" s="12" t="s">
        <v>686</v>
      </c>
      <c r="B121" s="12" t="s">
        <v>666</v>
      </c>
      <c r="C121" s="12" t="s">
        <v>754</v>
      </c>
      <c r="D121" s="12" t="s">
        <v>690</v>
      </c>
      <c r="E121" s="13" t="n">
        <v>694</v>
      </c>
      <c r="F121" s="13" t="n">
        <v>625</v>
      </c>
      <c r="G121" s="13"/>
      <c r="H121" s="13" t="n">
        <v>400</v>
      </c>
      <c r="I121" s="13"/>
      <c r="J121" s="13"/>
      <c r="K121" s="12" t="s">
        <v>743</v>
      </c>
      <c r="L121" s="12" t="s">
        <v>29</v>
      </c>
      <c r="M121" s="12" t="s">
        <v>129</v>
      </c>
      <c r="N121" s="12" t="s">
        <v>726</v>
      </c>
    </row>
    <row r="122" customFormat="false" ht="36" hidden="false" customHeight="true" outlineLevel="0" collapsed="false">
      <c r="A122" s="12" t="s">
        <v>686</v>
      </c>
      <c r="B122" s="12" t="s">
        <v>666</v>
      </c>
      <c r="C122" s="12" t="s">
        <v>755</v>
      </c>
      <c r="D122" s="12" t="s">
        <v>690</v>
      </c>
      <c r="E122" s="13" t="n">
        <v>731</v>
      </c>
      <c r="F122" s="13" t="n">
        <v>658</v>
      </c>
      <c r="G122" s="13"/>
      <c r="H122" s="13" t="n">
        <v>421</v>
      </c>
      <c r="I122" s="13"/>
      <c r="J122" s="13"/>
      <c r="K122" s="12" t="s">
        <v>743</v>
      </c>
      <c r="L122" s="12" t="s">
        <v>29</v>
      </c>
      <c r="M122" s="12" t="s">
        <v>129</v>
      </c>
      <c r="N122" s="12" t="s">
        <v>726</v>
      </c>
    </row>
    <row r="123" customFormat="false" ht="36" hidden="false" customHeight="true" outlineLevel="0" collapsed="false">
      <c r="A123" s="12" t="s">
        <v>686</v>
      </c>
      <c r="B123" s="12" t="s">
        <v>666</v>
      </c>
      <c r="C123" s="12" t="s">
        <v>756</v>
      </c>
      <c r="D123" s="12" t="s">
        <v>690</v>
      </c>
      <c r="E123" s="13" t="n">
        <v>764</v>
      </c>
      <c r="F123" s="13" t="n">
        <v>688</v>
      </c>
      <c r="G123" s="13"/>
      <c r="H123" s="13" t="n">
        <v>439</v>
      </c>
      <c r="I123" s="13"/>
      <c r="J123" s="13"/>
      <c r="K123" s="12" t="s">
        <v>743</v>
      </c>
      <c r="L123" s="12" t="s">
        <v>29</v>
      </c>
      <c r="M123" s="12" t="s">
        <v>129</v>
      </c>
      <c r="N123" s="12" t="s">
        <v>726</v>
      </c>
    </row>
    <row r="124" customFormat="false" ht="36" hidden="false" customHeight="true" outlineLevel="0" collapsed="false">
      <c r="A124" s="12" t="s">
        <v>686</v>
      </c>
      <c r="B124" s="12" t="s">
        <v>666</v>
      </c>
      <c r="C124" s="12" t="s">
        <v>757</v>
      </c>
      <c r="D124" s="12" t="s">
        <v>690</v>
      </c>
      <c r="E124" s="13" t="n">
        <v>410</v>
      </c>
      <c r="F124" s="13" t="n">
        <v>369</v>
      </c>
      <c r="G124" s="13"/>
      <c r="H124" s="13" t="n">
        <v>229</v>
      </c>
      <c r="I124" s="13"/>
      <c r="J124" s="13"/>
      <c r="K124" s="12" t="s">
        <v>743</v>
      </c>
      <c r="L124" s="12" t="s">
        <v>29</v>
      </c>
      <c r="M124" s="12" t="s">
        <v>129</v>
      </c>
      <c r="N124" s="12" t="s">
        <v>726</v>
      </c>
    </row>
    <row r="125" customFormat="false" ht="36" hidden="false" customHeight="true" outlineLevel="0" collapsed="false">
      <c r="A125" s="12" t="s">
        <v>686</v>
      </c>
      <c r="B125" s="12" t="s">
        <v>666</v>
      </c>
      <c r="C125" s="12" t="s">
        <v>758</v>
      </c>
      <c r="D125" s="12" t="s">
        <v>690</v>
      </c>
      <c r="E125" s="13" t="n">
        <v>670</v>
      </c>
      <c r="F125" s="13" t="n">
        <v>603</v>
      </c>
      <c r="G125" s="13"/>
      <c r="H125" s="13" t="n">
        <v>385</v>
      </c>
      <c r="I125" s="13"/>
      <c r="J125" s="13"/>
      <c r="K125" s="12" t="s">
        <v>743</v>
      </c>
      <c r="L125" s="12" t="s">
        <v>29</v>
      </c>
      <c r="M125" s="12" t="s">
        <v>129</v>
      </c>
      <c r="N125" s="12" t="s">
        <v>726</v>
      </c>
    </row>
    <row r="126" customFormat="false" ht="36" hidden="false" customHeight="true" outlineLevel="0" collapsed="false">
      <c r="A126" s="12" t="s">
        <v>759</v>
      </c>
      <c r="B126" s="12" t="s">
        <v>666</v>
      </c>
      <c r="C126" s="12" t="s">
        <v>201</v>
      </c>
      <c r="D126" s="12" t="s">
        <v>760</v>
      </c>
      <c r="E126" s="13" t="n">
        <v>63</v>
      </c>
      <c r="F126" s="13" t="n">
        <v>54.5</v>
      </c>
      <c r="G126" s="13" t="n">
        <v>37</v>
      </c>
      <c r="H126" s="13" t="n">
        <v>37</v>
      </c>
      <c r="I126" s="13"/>
      <c r="J126" s="13"/>
      <c r="K126" s="12" t="s">
        <v>761</v>
      </c>
      <c r="L126" s="12" t="s">
        <v>29</v>
      </c>
      <c r="M126" s="12" t="s">
        <v>70</v>
      </c>
      <c r="N126" s="12" t="s">
        <v>726</v>
      </c>
    </row>
    <row r="127" customFormat="false" ht="36" hidden="false" customHeight="true" outlineLevel="0" collapsed="false">
      <c r="A127" s="12" t="s">
        <v>759</v>
      </c>
      <c r="B127" s="12" t="s">
        <v>666</v>
      </c>
      <c r="C127" s="12" t="s">
        <v>762</v>
      </c>
      <c r="D127" s="12" t="s">
        <v>760</v>
      </c>
      <c r="E127" s="13" t="n">
        <v>51</v>
      </c>
      <c r="F127" s="13" t="n">
        <v>46</v>
      </c>
      <c r="G127" s="13" t="n">
        <v>30.5</v>
      </c>
      <c r="H127" s="13" t="n">
        <v>30.5</v>
      </c>
      <c r="I127" s="13"/>
      <c r="J127" s="13"/>
      <c r="K127" s="12" t="s">
        <v>761</v>
      </c>
      <c r="L127" s="12" t="s">
        <v>29</v>
      </c>
      <c r="M127" s="12" t="s">
        <v>70</v>
      </c>
      <c r="N127" s="12" t="s">
        <v>726</v>
      </c>
    </row>
    <row r="128" customFormat="false" ht="36" hidden="false" customHeight="true" outlineLevel="0" collapsed="false">
      <c r="A128" s="12" t="s">
        <v>759</v>
      </c>
      <c r="B128" s="12" t="s">
        <v>666</v>
      </c>
      <c r="C128" s="12" t="s">
        <v>763</v>
      </c>
      <c r="D128" s="12" t="s">
        <v>760</v>
      </c>
      <c r="E128" s="13" t="n">
        <v>42</v>
      </c>
      <c r="F128" s="13" t="n">
        <v>38</v>
      </c>
      <c r="G128" s="13" t="n">
        <v>25</v>
      </c>
      <c r="H128" s="13" t="n">
        <v>25</v>
      </c>
      <c r="I128" s="13"/>
      <c r="J128" s="13"/>
      <c r="K128" s="12" t="s">
        <v>761</v>
      </c>
      <c r="L128" s="12" t="s">
        <v>29</v>
      </c>
      <c r="M128" s="12" t="s">
        <v>70</v>
      </c>
      <c r="N128" s="12" t="s">
        <v>726</v>
      </c>
    </row>
    <row r="129" customFormat="false" ht="36" hidden="false" customHeight="true" outlineLevel="0" collapsed="false">
      <c r="A129" s="12" t="s">
        <v>759</v>
      </c>
      <c r="B129" s="12" t="s">
        <v>666</v>
      </c>
      <c r="C129" s="12" t="s">
        <v>764</v>
      </c>
      <c r="D129" s="12" t="s">
        <v>760</v>
      </c>
      <c r="E129" s="13" t="n">
        <v>35</v>
      </c>
      <c r="F129" s="13" t="n">
        <v>31.5</v>
      </c>
      <c r="G129" s="13" t="n">
        <v>21</v>
      </c>
      <c r="H129" s="13" t="n">
        <v>21</v>
      </c>
      <c r="I129" s="13"/>
      <c r="J129" s="13"/>
      <c r="K129" s="12" t="s">
        <v>761</v>
      </c>
      <c r="L129" s="12" t="s">
        <v>29</v>
      </c>
      <c r="M129" s="12" t="s">
        <v>70</v>
      </c>
      <c r="N129" s="12" t="s">
        <v>726</v>
      </c>
    </row>
    <row r="130" customFormat="false" ht="36" hidden="false" customHeight="true" outlineLevel="0" collapsed="false">
      <c r="A130" s="12" t="s">
        <v>759</v>
      </c>
      <c r="B130" s="12" t="s">
        <v>666</v>
      </c>
      <c r="C130" s="12" t="s">
        <v>671</v>
      </c>
      <c r="D130" s="12" t="s">
        <v>760</v>
      </c>
      <c r="E130" s="13" t="n">
        <v>123</v>
      </c>
      <c r="F130" s="13" t="n">
        <v>107.5</v>
      </c>
      <c r="G130" s="13" t="n">
        <v>71.5</v>
      </c>
      <c r="H130" s="13" t="n">
        <v>71.5</v>
      </c>
      <c r="I130" s="13"/>
      <c r="J130" s="13"/>
      <c r="K130" s="12" t="s">
        <v>761</v>
      </c>
      <c r="L130" s="12" t="s">
        <v>29</v>
      </c>
      <c r="M130" s="12" t="s">
        <v>70</v>
      </c>
      <c r="N130" s="12" t="s">
        <v>726</v>
      </c>
    </row>
    <row r="131" customFormat="false" ht="36" hidden="false" customHeight="true" outlineLevel="0" collapsed="false">
      <c r="A131" s="12" t="s">
        <v>759</v>
      </c>
      <c r="B131" s="12" t="s">
        <v>666</v>
      </c>
      <c r="C131" s="12" t="s">
        <v>672</v>
      </c>
      <c r="D131" s="12" t="s">
        <v>760</v>
      </c>
      <c r="E131" s="13" t="n">
        <v>174.5</v>
      </c>
      <c r="F131" s="13" t="n">
        <v>160.5</v>
      </c>
      <c r="G131" s="13" t="n">
        <v>101</v>
      </c>
      <c r="H131" s="13" t="n">
        <v>101</v>
      </c>
      <c r="I131" s="13"/>
      <c r="J131" s="13"/>
      <c r="K131" s="12" t="s">
        <v>761</v>
      </c>
      <c r="L131" s="12" t="s">
        <v>29</v>
      </c>
      <c r="M131" s="12" t="s">
        <v>70</v>
      </c>
      <c r="N131" s="12" t="s">
        <v>726</v>
      </c>
    </row>
    <row r="132" customFormat="false" ht="36" hidden="false" customHeight="true" outlineLevel="0" collapsed="false">
      <c r="A132" s="12" t="s">
        <v>759</v>
      </c>
      <c r="B132" s="12" t="s">
        <v>666</v>
      </c>
      <c r="C132" s="12" t="s">
        <v>741</v>
      </c>
      <c r="D132" s="12" t="s">
        <v>760</v>
      </c>
      <c r="E132" s="13" t="n">
        <v>215</v>
      </c>
      <c r="F132" s="13" t="n">
        <v>193.5</v>
      </c>
      <c r="G132" s="13" t="n">
        <v>122.5</v>
      </c>
      <c r="H132" s="13" t="n">
        <v>122.5</v>
      </c>
      <c r="I132" s="13"/>
      <c r="J132" s="13"/>
      <c r="K132" s="12" t="s">
        <v>761</v>
      </c>
      <c r="L132" s="12" t="s">
        <v>29</v>
      </c>
      <c r="M132" s="12" t="s">
        <v>70</v>
      </c>
      <c r="N132" s="12" t="s">
        <v>726</v>
      </c>
    </row>
    <row r="133" customFormat="false" ht="36" hidden="false" customHeight="true" outlineLevel="0" collapsed="false">
      <c r="A133" s="12" t="s">
        <v>759</v>
      </c>
      <c r="B133" s="12" t="s">
        <v>666</v>
      </c>
      <c r="C133" s="12" t="s">
        <v>673</v>
      </c>
      <c r="D133" s="12" t="s">
        <v>760</v>
      </c>
      <c r="E133" s="13" t="n">
        <v>261</v>
      </c>
      <c r="F133" s="13" t="n">
        <v>235</v>
      </c>
      <c r="G133" s="13" t="n">
        <v>149</v>
      </c>
      <c r="H133" s="13" t="n">
        <v>149</v>
      </c>
      <c r="I133" s="13"/>
      <c r="J133" s="13"/>
      <c r="K133" s="12" t="s">
        <v>761</v>
      </c>
      <c r="L133" s="12" t="s">
        <v>29</v>
      </c>
      <c r="M133" s="12" t="s">
        <v>70</v>
      </c>
      <c r="N133" s="12" t="s">
        <v>726</v>
      </c>
    </row>
    <row r="134" customFormat="false" ht="36" hidden="false" customHeight="true" outlineLevel="0" collapsed="false">
      <c r="A134" s="12" t="s">
        <v>759</v>
      </c>
      <c r="B134" s="12" t="s">
        <v>666</v>
      </c>
      <c r="C134" s="12" t="s">
        <v>677</v>
      </c>
      <c r="D134" s="12" t="s">
        <v>760</v>
      </c>
      <c r="E134" s="13" t="n">
        <v>303.5</v>
      </c>
      <c r="F134" s="13" t="n">
        <v>273</v>
      </c>
      <c r="G134" s="13" t="n">
        <v>173</v>
      </c>
      <c r="H134" s="13" t="n">
        <v>173</v>
      </c>
      <c r="I134" s="13"/>
      <c r="J134" s="13"/>
      <c r="K134" s="12" t="s">
        <v>761</v>
      </c>
      <c r="L134" s="12" t="s">
        <v>29</v>
      </c>
      <c r="M134" s="12" t="s">
        <v>70</v>
      </c>
      <c r="N134" s="12" t="s">
        <v>726</v>
      </c>
    </row>
    <row r="135" customFormat="false" ht="36" hidden="false" customHeight="true" outlineLevel="0" collapsed="false">
      <c r="A135" s="12" t="s">
        <v>759</v>
      </c>
      <c r="B135" s="12" t="s">
        <v>666</v>
      </c>
      <c r="C135" s="12" t="s">
        <v>678</v>
      </c>
      <c r="D135" s="12" t="s">
        <v>760</v>
      </c>
      <c r="E135" s="13" t="n">
        <v>321</v>
      </c>
      <c r="F135" s="13" t="n">
        <v>289</v>
      </c>
      <c r="G135" s="13" t="n">
        <v>183</v>
      </c>
      <c r="H135" s="13" t="n">
        <v>183</v>
      </c>
      <c r="I135" s="13"/>
      <c r="J135" s="13"/>
      <c r="K135" s="12" t="s">
        <v>761</v>
      </c>
      <c r="L135" s="12" t="s">
        <v>29</v>
      </c>
      <c r="M135" s="12" t="s">
        <v>70</v>
      </c>
      <c r="N135" s="12" t="s">
        <v>726</v>
      </c>
    </row>
    <row r="136" customFormat="false" ht="36" hidden="false" customHeight="true" outlineLevel="0" collapsed="false">
      <c r="A136" s="12" t="s">
        <v>759</v>
      </c>
      <c r="B136" s="12" t="s">
        <v>666</v>
      </c>
      <c r="C136" s="12" t="s">
        <v>599</v>
      </c>
      <c r="D136" s="12" t="s">
        <v>760</v>
      </c>
      <c r="E136" s="13" t="n">
        <v>837</v>
      </c>
      <c r="F136" s="13" t="n">
        <v>669.5</v>
      </c>
      <c r="G136" s="13" t="n">
        <v>477</v>
      </c>
      <c r="H136" s="13" t="n">
        <v>477</v>
      </c>
      <c r="I136" s="13"/>
      <c r="J136" s="13"/>
      <c r="K136" s="12" t="s">
        <v>761</v>
      </c>
      <c r="L136" s="12" t="s">
        <v>29</v>
      </c>
      <c r="M136" s="12" t="s">
        <v>70</v>
      </c>
      <c r="N136" s="12" t="s">
        <v>726</v>
      </c>
    </row>
    <row r="137" customFormat="false" ht="36" hidden="false" customHeight="true" outlineLevel="0" collapsed="false">
      <c r="A137" s="12" t="s">
        <v>162</v>
      </c>
      <c r="B137" s="12" t="s">
        <v>765</v>
      </c>
      <c r="C137" s="12" t="s">
        <v>201</v>
      </c>
      <c r="D137" s="12" t="s">
        <v>77</v>
      </c>
      <c r="E137" s="13" t="n">
        <v>49</v>
      </c>
      <c r="F137" s="13" t="n">
        <v>45</v>
      </c>
      <c r="G137" s="13"/>
      <c r="H137" s="13" t="n">
        <v>26</v>
      </c>
      <c r="I137" s="13"/>
      <c r="J137" s="13"/>
      <c r="K137" s="12" t="s">
        <v>766</v>
      </c>
      <c r="L137" s="12" t="s">
        <v>29</v>
      </c>
      <c r="M137" s="12" t="s">
        <v>166</v>
      </c>
      <c r="N137" s="12" t="s">
        <v>726</v>
      </c>
    </row>
    <row r="138" customFormat="false" ht="36" hidden="false" customHeight="true" outlineLevel="0" collapsed="false">
      <c r="A138" s="12" t="s">
        <v>162</v>
      </c>
      <c r="B138" s="12" t="s">
        <v>765</v>
      </c>
      <c r="C138" s="12" t="s">
        <v>767</v>
      </c>
      <c r="D138" s="12" t="s">
        <v>77</v>
      </c>
      <c r="E138" s="13" t="n">
        <v>42</v>
      </c>
      <c r="F138" s="13" t="n">
        <v>38</v>
      </c>
      <c r="G138" s="13"/>
      <c r="H138" s="13" t="n">
        <v>22</v>
      </c>
      <c r="I138" s="13"/>
      <c r="J138" s="13"/>
      <c r="K138" s="12" t="s">
        <v>766</v>
      </c>
      <c r="L138" s="12" t="s">
        <v>29</v>
      </c>
      <c r="M138" s="12" t="s">
        <v>166</v>
      </c>
      <c r="N138" s="12" t="s">
        <v>726</v>
      </c>
    </row>
    <row r="139" customFormat="false" ht="36" hidden="false" customHeight="true" outlineLevel="0" collapsed="false">
      <c r="A139" s="12" t="s">
        <v>162</v>
      </c>
      <c r="B139" s="12" t="s">
        <v>765</v>
      </c>
      <c r="C139" s="12" t="s">
        <v>768</v>
      </c>
      <c r="D139" s="12" t="s">
        <v>77</v>
      </c>
      <c r="E139" s="13" t="n">
        <v>36</v>
      </c>
      <c r="F139" s="13" t="n">
        <v>32</v>
      </c>
      <c r="G139" s="13"/>
      <c r="H139" s="13" t="n">
        <v>19</v>
      </c>
      <c r="I139" s="13"/>
      <c r="J139" s="13"/>
      <c r="K139" s="12" t="s">
        <v>766</v>
      </c>
      <c r="L139" s="12" t="s">
        <v>29</v>
      </c>
      <c r="M139" s="12" t="s">
        <v>166</v>
      </c>
      <c r="N139" s="12" t="s">
        <v>726</v>
      </c>
    </row>
    <row r="140" customFormat="false" ht="36" hidden="false" customHeight="true" outlineLevel="0" collapsed="false">
      <c r="A140" s="12" t="s">
        <v>162</v>
      </c>
      <c r="B140" s="12" t="s">
        <v>765</v>
      </c>
      <c r="C140" s="12" t="s">
        <v>671</v>
      </c>
      <c r="D140" s="12" t="s">
        <v>77</v>
      </c>
      <c r="E140" s="13" t="n">
        <v>95</v>
      </c>
      <c r="F140" s="13" t="n">
        <v>87</v>
      </c>
      <c r="G140" s="13"/>
      <c r="H140" s="13" t="n">
        <v>50</v>
      </c>
      <c r="I140" s="13"/>
      <c r="J140" s="13"/>
      <c r="K140" s="12" t="s">
        <v>766</v>
      </c>
      <c r="L140" s="12" t="s">
        <v>29</v>
      </c>
      <c r="M140" s="12" t="s">
        <v>166</v>
      </c>
      <c r="N140" s="12" t="s">
        <v>726</v>
      </c>
    </row>
    <row r="141" customFormat="false" ht="36" hidden="false" customHeight="true" outlineLevel="0" collapsed="false">
      <c r="A141" s="12" t="s">
        <v>162</v>
      </c>
      <c r="B141" s="12" t="s">
        <v>765</v>
      </c>
      <c r="C141" s="12" t="s">
        <v>672</v>
      </c>
      <c r="D141" s="12" t="s">
        <v>77</v>
      </c>
      <c r="E141" s="13" t="n">
        <v>141</v>
      </c>
      <c r="F141" s="13" t="n">
        <v>129</v>
      </c>
      <c r="G141" s="13"/>
      <c r="H141" s="13" t="n">
        <v>75</v>
      </c>
      <c r="I141" s="13"/>
      <c r="J141" s="13"/>
      <c r="K141" s="12" t="s">
        <v>766</v>
      </c>
      <c r="L141" s="12" t="s">
        <v>29</v>
      </c>
      <c r="M141" s="12" t="s">
        <v>166</v>
      </c>
      <c r="N141" s="12" t="s">
        <v>726</v>
      </c>
    </row>
    <row r="142" customFormat="false" ht="36" hidden="false" customHeight="true" outlineLevel="0" collapsed="false">
      <c r="A142" s="12" t="s">
        <v>162</v>
      </c>
      <c r="B142" s="12" t="s">
        <v>765</v>
      </c>
      <c r="C142" s="12" t="s">
        <v>741</v>
      </c>
      <c r="D142" s="12" t="s">
        <v>77</v>
      </c>
      <c r="E142" s="13" t="n">
        <v>186</v>
      </c>
      <c r="F142" s="13" t="n">
        <v>171</v>
      </c>
      <c r="G142" s="13"/>
      <c r="H142" s="13" t="n">
        <v>99</v>
      </c>
      <c r="I142" s="13"/>
      <c r="J142" s="13"/>
      <c r="K142" s="12" t="s">
        <v>766</v>
      </c>
      <c r="L142" s="12" t="s">
        <v>29</v>
      </c>
      <c r="M142" s="12" t="s">
        <v>166</v>
      </c>
      <c r="N142" s="12" t="s">
        <v>726</v>
      </c>
    </row>
    <row r="143" customFormat="false" ht="36" hidden="false" customHeight="true" outlineLevel="0" collapsed="false">
      <c r="A143" s="12" t="s">
        <v>162</v>
      </c>
      <c r="B143" s="12" t="s">
        <v>765</v>
      </c>
      <c r="C143" s="12" t="s">
        <v>673</v>
      </c>
      <c r="D143" s="12" t="s">
        <v>77</v>
      </c>
      <c r="E143" s="13" t="n">
        <v>231</v>
      </c>
      <c r="F143" s="13" t="n">
        <v>212</v>
      </c>
      <c r="G143" s="13"/>
      <c r="H143" s="13" t="n">
        <v>122</v>
      </c>
      <c r="I143" s="13"/>
      <c r="J143" s="13"/>
      <c r="K143" s="12" t="s">
        <v>766</v>
      </c>
      <c r="L143" s="12" t="s">
        <v>29</v>
      </c>
      <c r="M143" s="12" t="s">
        <v>166</v>
      </c>
      <c r="N143" s="12" t="s">
        <v>726</v>
      </c>
    </row>
    <row r="144" customFormat="false" ht="36" hidden="false" customHeight="true" outlineLevel="0" collapsed="false">
      <c r="A144" s="12" t="s">
        <v>162</v>
      </c>
      <c r="B144" s="12" t="s">
        <v>765</v>
      </c>
      <c r="C144" s="12" t="s">
        <v>769</v>
      </c>
      <c r="D144" s="12" t="s">
        <v>77</v>
      </c>
      <c r="E144" s="13" t="n">
        <v>274</v>
      </c>
      <c r="F144" s="13" t="n">
        <v>252</v>
      </c>
      <c r="G144" s="13"/>
      <c r="H144" s="13" t="n">
        <v>145</v>
      </c>
      <c r="I144" s="13"/>
      <c r="J144" s="13"/>
      <c r="K144" s="12" t="s">
        <v>766</v>
      </c>
      <c r="L144" s="12" t="s">
        <v>29</v>
      </c>
      <c r="M144" s="12" t="s">
        <v>166</v>
      </c>
      <c r="N144" s="12" t="s">
        <v>726</v>
      </c>
    </row>
    <row r="145" customFormat="false" ht="36" hidden="false" customHeight="true" outlineLevel="0" collapsed="false">
      <c r="A145" s="12" t="s">
        <v>162</v>
      </c>
      <c r="B145" s="12" t="s">
        <v>765</v>
      </c>
      <c r="C145" s="12" t="s">
        <v>770</v>
      </c>
      <c r="D145" s="12" t="s">
        <v>77</v>
      </c>
      <c r="E145" s="13" t="n">
        <v>477</v>
      </c>
      <c r="F145" s="13" t="n">
        <v>454</v>
      </c>
      <c r="G145" s="13"/>
      <c r="H145" s="13" t="n">
        <v>249</v>
      </c>
      <c r="I145" s="13"/>
      <c r="J145" s="13"/>
      <c r="K145" s="12" t="s">
        <v>766</v>
      </c>
      <c r="L145" s="12" t="s">
        <v>29</v>
      </c>
      <c r="M145" s="12" t="s">
        <v>166</v>
      </c>
      <c r="N145" s="12" t="s">
        <v>726</v>
      </c>
    </row>
    <row r="146" customFormat="false" ht="36" hidden="false" customHeight="true" outlineLevel="0" collapsed="false">
      <c r="A146" s="12" t="s">
        <v>162</v>
      </c>
      <c r="B146" s="12" t="s">
        <v>765</v>
      </c>
      <c r="C146" s="12" t="s">
        <v>771</v>
      </c>
      <c r="D146" s="12" t="s">
        <v>77</v>
      </c>
      <c r="E146" s="13" t="n">
        <v>607</v>
      </c>
      <c r="F146" s="13" t="n">
        <v>578</v>
      </c>
      <c r="G146" s="13"/>
      <c r="H146" s="13" t="n">
        <v>353</v>
      </c>
      <c r="I146" s="13"/>
      <c r="J146" s="13"/>
      <c r="K146" s="12" t="s">
        <v>766</v>
      </c>
      <c r="L146" s="12" t="s">
        <v>29</v>
      </c>
      <c r="M146" s="12" t="s">
        <v>166</v>
      </c>
      <c r="N146" s="12" t="s">
        <v>726</v>
      </c>
    </row>
    <row r="147" customFormat="false" ht="36" hidden="false" customHeight="true" outlineLevel="0" collapsed="false">
      <c r="A147" s="12" t="s">
        <v>162</v>
      </c>
      <c r="B147" s="12" t="s">
        <v>765</v>
      </c>
      <c r="C147" s="12" t="s">
        <v>772</v>
      </c>
      <c r="D147" s="12" t="s">
        <v>77</v>
      </c>
      <c r="E147" s="13" t="n">
        <v>37</v>
      </c>
      <c r="F147" s="13" t="n">
        <v>34</v>
      </c>
      <c r="G147" s="13"/>
      <c r="H147" s="13" t="n">
        <v>20</v>
      </c>
      <c r="I147" s="13"/>
      <c r="J147" s="13"/>
      <c r="K147" s="12" t="s">
        <v>766</v>
      </c>
      <c r="L147" s="12" t="s">
        <v>29</v>
      </c>
      <c r="M147" s="12" t="s">
        <v>166</v>
      </c>
      <c r="N147" s="12" t="s">
        <v>726</v>
      </c>
    </row>
    <row r="148" customFormat="false" ht="36" hidden="false" customHeight="true" outlineLevel="0" collapsed="false">
      <c r="A148" s="12" t="s">
        <v>162</v>
      </c>
      <c r="B148" s="12" t="s">
        <v>765</v>
      </c>
      <c r="C148" s="12" t="s">
        <v>773</v>
      </c>
      <c r="D148" s="12" t="s">
        <v>77</v>
      </c>
      <c r="E148" s="13" t="n">
        <v>25</v>
      </c>
      <c r="F148" s="13" t="n">
        <v>23</v>
      </c>
      <c r="G148" s="13"/>
      <c r="H148" s="13" t="n">
        <v>13</v>
      </c>
      <c r="I148" s="13"/>
      <c r="J148" s="13"/>
      <c r="K148" s="12" t="s">
        <v>766</v>
      </c>
      <c r="L148" s="12" t="s">
        <v>29</v>
      </c>
      <c r="M148" s="12" t="s">
        <v>166</v>
      </c>
      <c r="N148" s="12" t="s">
        <v>726</v>
      </c>
    </row>
    <row r="149" customFormat="false" ht="36" hidden="false" customHeight="true" outlineLevel="0" collapsed="false">
      <c r="A149" s="12" t="s">
        <v>162</v>
      </c>
      <c r="B149" s="12" t="s">
        <v>765</v>
      </c>
      <c r="C149" s="12" t="s">
        <v>774</v>
      </c>
      <c r="D149" s="12" t="s">
        <v>77</v>
      </c>
      <c r="E149" s="13" t="n">
        <v>25</v>
      </c>
      <c r="F149" s="13" t="n">
        <v>24</v>
      </c>
      <c r="G149" s="13"/>
      <c r="H149" s="13" t="n">
        <v>15</v>
      </c>
      <c r="I149" s="13"/>
      <c r="J149" s="13"/>
      <c r="K149" s="12" t="s">
        <v>766</v>
      </c>
      <c r="L149" s="12" t="s">
        <v>29</v>
      </c>
      <c r="M149" s="12" t="s">
        <v>166</v>
      </c>
      <c r="N149" s="12" t="s">
        <v>726</v>
      </c>
    </row>
    <row r="150" customFormat="false" ht="36" hidden="false" customHeight="true" outlineLevel="0" collapsed="false">
      <c r="A150" s="12" t="s">
        <v>98</v>
      </c>
      <c r="B150" s="12" t="s">
        <v>666</v>
      </c>
      <c r="C150" s="12" t="s">
        <v>670</v>
      </c>
      <c r="D150" s="12" t="s">
        <v>775</v>
      </c>
      <c r="E150" s="13" t="n">
        <v>64</v>
      </c>
      <c r="F150" s="13"/>
      <c r="G150" s="13" t="n">
        <v>50</v>
      </c>
      <c r="H150" s="13" t="n">
        <v>34.5</v>
      </c>
      <c r="I150" s="13"/>
      <c r="J150" s="13"/>
      <c r="K150" s="12" t="s">
        <v>776</v>
      </c>
      <c r="L150" s="12" t="s">
        <v>29</v>
      </c>
      <c r="M150" s="12" t="s">
        <v>103</v>
      </c>
      <c r="N150" s="12" t="s">
        <v>726</v>
      </c>
    </row>
    <row r="151" customFormat="false" ht="36" hidden="false" customHeight="true" outlineLevel="0" collapsed="false">
      <c r="A151" s="12" t="s">
        <v>98</v>
      </c>
      <c r="B151" s="12" t="s">
        <v>666</v>
      </c>
      <c r="C151" s="12" t="s">
        <v>670</v>
      </c>
      <c r="D151" s="12" t="s">
        <v>777</v>
      </c>
      <c r="E151" s="13" t="n">
        <v>69.5</v>
      </c>
      <c r="F151" s="13"/>
      <c r="G151" s="13" t="n">
        <v>56</v>
      </c>
      <c r="H151" s="13" t="n">
        <v>38.5</v>
      </c>
      <c r="I151" s="13"/>
      <c r="J151" s="13"/>
      <c r="K151" s="12" t="s">
        <v>776</v>
      </c>
      <c r="L151" s="12" t="s">
        <v>29</v>
      </c>
      <c r="M151" s="12" t="s">
        <v>103</v>
      </c>
      <c r="N151" s="12" t="s">
        <v>726</v>
      </c>
    </row>
    <row r="152" customFormat="false" ht="36" hidden="false" customHeight="true" outlineLevel="0" collapsed="false">
      <c r="A152" s="12" t="s">
        <v>98</v>
      </c>
      <c r="B152" s="12" t="s">
        <v>666</v>
      </c>
      <c r="C152" s="12" t="s">
        <v>670</v>
      </c>
      <c r="D152" s="12" t="s">
        <v>778</v>
      </c>
      <c r="E152" s="13" t="n">
        <v>75.5</v>
      </c>
      <c r="F152" s="13"/>
      <c r="G152" s="13" t="n">
        <v>60.5</v>
      </c>
      <c r="H152" s="13" t="n">
        <v>42.5</v>
      </c>
      <c r="I152" s="13"/>
      <c r="J152" s="13"/>
      <c r="K152" s="12" t="s">
        <v>776</v>
      </c>
      <c r="L152" s="12" t="s">
        <v>29</v>
      </c>
      <c r="M152" s="12" t="s">
        <v>103</v>
      </c>
      <c r="N152" s="12" t="s">
        <v>726</v>
      </c>
    </row>
    <row r="153" customFormat="false" ht="36" hidden="false" customHeight="true" outlineLevel="0" collapsed="false">
      <c r="A153" s="12" t="s">
        <v>98</v>
      </c>
      <c r="B153" s="12" t="s">
        <v>666</v>
      </c>
      <c r="C153" s="12" t="s">
        <v>671</v>
      </c>
      <c r="D153" s="12" t="s">
        <v>779</v>
      </c>
      <c r="E153" s="13" t="n">
        <v>147</v>
      </c>
      <c r="F153" s="13"/>
      <c r="G153" s="13" t="n">
        <v>117.5</v>
      </c>
      <c r="H153" s="13" t="n">
        <v>82</v>
      </c>
      <c r="I153" s="13"/>
      <c r="J153" s="13"/>
      <c r="K153" s="12" t="s">
        <v>780</v>
      </c>
      <c r="L153" s="12" t="s">
        <v>29</v>
      </c>
      <c r="M153" s="12" t="s">
        <v>103</v>
      </c>
      <c r="N153" s="12" t="s">
        <v>726</v>
      </c>
    </row>
    <row r="154" customFormat="false" ht="36" hidden="false" customHeight="true" outlineLevel="0" collapsed="false">
      <c r="A154" s="12" t="s">
        <v>98</v>
      </c>
      <c r="B154" s="12" t="s">
        <v>666</v>
      </c>
      <c r="C154" s="12" t="s">
        <v>672</v>
      </c>
      <c r="D154" s="12" t="s">
        <v>779</v>
      </c>
      <c r="E154" s="13" t="n">
        <v>251.5</v>
      </c>
      <c r="F154" s="13"/>
      <c r="G154" s="13" t="n">
        <v>201</v>
      </c>
      <c r="H154" s="13" t="n">
        <v>138.5</v>
      </c>
      <c r="I154" s="13"/>
      <c r="J154" s="13"/>
      <c r="K154" s="12" t="s">
        <v>780</v>
      </c>
      <c r="L154" s="12" t="s">
        <v>29</v>
      </c>
      <c r="M154" s="12" t="s">
        <v>103</v>
      </c>
      <c r="N154" s="12" t="s">
        <v>726</v>
      </c>
    </row>
    <row r="155" customFormat="false" ht="36" hidden="false" customHeight="true" outlineLevel="0" collapsed="false">
      <c r="A155" s="12" t="s">
        <v>98</v>
      </c>
      <c r="B155" s="12" t="s">
        <v>666</v>
      </c>
      <c r="C155" s="12" t="s">
        <v>741</v>
      </c>
      <c r="D155" s="12" t="s">
        <v>779</v>
      </c>
      <c r="E155" s="13" t="n">
        <v>329</v>
      </c>
      <c r="F155" s="13"/>
      <c r="G155" s="13" t="n">
        <v>263</v>
      </c>
      <c r="H155" s="13" t="n">
        <v>181</v>
      </c>
      <c r="I155" s="13"/>
      <c r="J155" s="13"/>
      <c r="K155" s="12" t="s">
        <v>780</v>
      </c>
      <c r="L155" s="12" t="s">
        <v>29</v>
      </c>
      <c r="M155" s="12" t="s">
        <v>103</v>
      </c>
      <c r="N155" s="12" t="s">
        <v>726</v>
      </c>
    </row>
    <row r="156" customFormat="false" ht="36" hidden="false" customHeight="true" outlineLevel="0" collapsed="false">
      <c r="A156" s="12" t="s">
        <v>98</v>
      </c>
      <c r="B156" s="12" t="s">
        <v>666</v>
      </c>
      <c r="C156" s="12" t="s">
        <v>673</v>
      </c>
      <c r="D156" s="12" t="s">
        <v>779</v>
      </c>
      <c r="E156" s="13" t="n">
        <v>409</v>
      </c>
      <c r="F156" s="13"/>
      <c r="G156" s="13" t="n">
        <v>327</v>
      </c>
      <c r="H156" s="13" t="n">
        <v>225</v>
      </c>
      <c r="I156" s="13"/>
      <c r="J156" s="13"/>
      <c r="K156" s="12" t="s">
        <v>780</v>
      </c>
      <c r="L156" s="12" t="s">
        <v>29</v>
      </c>
      <c r="M156" s="12" t="s">
        <v>103</v>
      </c>
      <c r="N156" s="12" t="s">
        <v>726</v>
      </c>
    </row>
    <row r="157" customFormat="false" ht="36" hidden="false" customHeight="true" outlineLevel="0" collapsed="false">
      <c r="A157" s="12" t="s">
        <v>98</v>
      </c>
      <c r="B157" s="12" t="s">
        <v>666</v>
      </c>
      <c r="C157" s="12" t="s">
        <v>677</v>
      </c>
      <c r="D157" s="12" t="s">
        <v>779</v>
      </c>
      <c r="E157" s="13" t="n">
        <v>478.5</v>
      </c>
      <c r="F157" s="13"/>
      <c r="G157" s="13" t="n">
        <v>383</v>
      </c>
      <c r="H157" s="13" t="n">
        <v>263</v>
      </c>
      <c r="I157" s="13"/>
      <c r="J157" s="13"/>
      <c r="K157" s="12" t="s">
        <v>780</v>
      </c>
      <c r="L157" s="12" t="s">
        <v>29</v>
      </c>
      <c r="M157" s="12" t="s">
        <v>103</v>
      </c>
      <c r="N157" s="12" t="s">
        <v>726</v>
      </c>
    </row>
    <row r="158" customFormat="false" ht="36" hidden="false" customHeight="true" outlineLevel="0" collapsed="false">
      <c r="A158" s="12" t="s">
        <v>98</v>
      </c>
      <c r="B158" s="12" t="s">
        <v>666</v>
      </c>
      <c r="C158" s="12" t="s">
        <v>678</v>
      </c>
      <c r="D158" s="12" t="s">
        <v>779</v>
      </c>
      <c r="E158" s="13" t="n">
        <v>530</v>
      </c>
      <c r="F158" s="13"/>
      <c r="G158" s="13" t="n">
        <v>424</v>
      </c>
      <c r="H158" s="13" t="n">
        <v>291.5</v>
      </c>
      <c r="I158" s="13"/>
      <c r="J158" s="13"/>
      <c r="K158" s="12" t="s">
        <v>780</v>
      </c>
      <c r="L158" s="12" t="s">
        <v>29</v>
      </c>
      <c r="M158" s="12" t="s">
        <v>103</v>
      </c>
      <c r="N158" s="12" t="s">
        <v>726</v>
      </c>
    </row>
    <row r="159" customFormat="false" ht="36" hidden="false" customHeight="true" outlineLevel="0" collapsed="false">
      <c r="A159" s="12" t="s">
        <v>72</v>
      </c>
      <c r="B159" s="12" t="s">
        <v>666</v>
      </c>
      <c r="C159" s="12" t="s">
        <v>670</v>
      </c>
      <c r="D159" s="12" t="s">
        <v>77</v>
      </c>
      <c r="E159" s="13" t="n">
        <v>60.2</v>
      </c>
      <c r="F159" s="13" t="n">
        <v>57.1</v>
      </c>
      <c r="G159" s="13" t="n">
        <v>45.1</v>
      </c>
      <c r="H159" s="13" t="n">
        <v>36.1</v>
      </c>
      <c r="I159" s="13"/>
      <c r="J159" s="13"/>
      <c r="K159" s="12" t="s">
        <v>781</v>
      </c>
      <c r="L159" s="12" t="s">
        <v>29</v>
      </c>
      <c r="M159" s="12" t="s">
        <v>78</v>
      </c>
      <c r="N159" s="12" t="s">
        <v>726</v>
      </c>
    </row>
    <row r="160" customFormat="false" ht="36" hidden="false" customHeight="true" outlineLevel="0" collapsed="false">
      <c r="A160" s="12" t="s">
        <v>72</v>
      </c>
      <c r="B160" s="12" t="s">
        <v>666</v>
      </c>
      <c r="C160" s="12" t="s">
        <v>782</v>
      </c>
      <c r="D160" s="12" t="s">
        <v>77</v>
      </c>
      <c r="E160" s="13" t="n">
        <v>50.6</v>
      </c>
      <c r="F160" s="13" t="n">
        <v>48.1</v>
      </c>
      <c r="G160" s="13" t="n">
        <v>38</v>
      </c>
      <c r="H160" s="13" t="n">
        <v>30.3</v>
      </c>
      <c r="I160" s="13"/>
      <c r="J160" s="13"/>
      <c r="K160" s="12" t="s">
        <v>781</v>
      </c>
      <c r="L160" s="12" t="s">
        <v>29</v>
      </c>
      <c r="M160" s="12" t="s">
        <v>78</v>
      </c>
      <c r="N160" s="12" t="s">
        <v>726</v>
      </c>
    </row>
    <row r="161" customFormat="false" ht="36" hidden="false" customHeight="true" outlineLevel="0" collapsed="false">
      <c r="A161" s="12" t="s">
        <v>72</v>
      </c>
      <c r="B161" s="12" t="s">
        <v>666</v>
      </c>
      <c r="C161" s="12" t="s">
        <v>783</v>
      </c>
      <c r="D161" s="12" t="s">
        <v>77</v>
      </c>
      <c r="E161" s="13" t="n">
        <v>49</v>
      </c>
      <c r="F161" s="13" t="n">
        <v>46.6</v>
      </c>
      <c r="G161" s="13" t="n">
        <v>36.8</v>
      </c>
      <c r="H161" s="13" t="n">
        <v>29.4</v>
      </c>
      <c r="I161" s="13"/>
      <c r="J161" s="13"/>
      <c r="K161" s="12" t="s">
        <v>781</v>
      </c>
      <c r="L161" s="12" t="s">
        <v>29</v>
      </c>
      <c r="M161" s="12" t="s">
        <v>78</v>
      </c>
      <c r="N161" s="12" t="s">
        <v>726</v>
      </c>
    </row>
    <row r="162" customFormat="false" ht="36" hidden="false" customHeight="true" outlineLevel="0" collapsed="false">
      <c r="A162" s="12" t="s">
        <v>72</v>
      </c>
      <c r="B162" s="12" t="s">
        <v>666</v>
      </c>
      <c r="C162" s="12" t="s">
        <v>784</v>
      </c>
      <c r="D162" s="12" t="s">
        <v>77</v>
      </c>
      <c r="E162" s="13" t="n">
        <v>45.9</v>
      </c>
      <c r="F162" s="13" t="n">
        <v>43.6</v>
      </c>
      <c r="G162" s="13" t="n">
        <v>34.4</v>
      </c>
      <c r="H162" s="13" t="n">
        <v>27.5</v>
      </c>
      <c r="I162" s="13"/>
      <c r="J162" s="13"/>
      <c r="K162" s="12" t="s">
        <v>781</v>
      </c>
      <c r="L162" s="12" t="s">
        <v>29</v>
      </c>
      <c r="M162" s="12" t="s">
        <v>78</v>
      </c>
      <c r="N162" s="12" t="s">
        <v>726</v>
      </c>
    </row>
    <row r="163" customFormat="false" ht="36" hidden="false" customHeight="true" outlineLevel="0" collapsed="false">
      <c r="A163" s="12" t="s">
        <v>72</v>
      </c>
      <c r="B163" s="12" t="s">
        <v>666</v>
      </c>
      <c r="C163" s="12" t="s">
        <v>785</v>
      </c>
      <c r="D163" s="12" t="s">
        <v>77</v>
      </c>
      <c r="E163" s="13" t="n">
        <v>38</v>
      </c>
      <c r="F163" s="13" t="n">
        <v>36.1</v>
      </c>
      <c r="G163" s="13" t="n">
        <v>28.6</v>
      </c>
      <c r="H163" s="13" t="n">
        <v>22.8</v>
      </c>
      <c r="I163" s="13"/>
      <c r="J163" s="13"/>
      <c r="K163" s="12" t="s">
        <v>781</v>
      </c>
      <c r="L163" s="12" t="s">
        <v>29</v>
      </c>
      <c r="M163" s="12" t="s">
        <v>78</v>
      </c>
      <c r="N163" s="12" t="s">
        <v>726</v>
      </c>
    </row>
    <row r="164" customFormat="false" ht="36" hidden="false" customHeight="true" outlineLevel="0" collapsed="false">
      <c r="A164" s="12" t="s">
        <v>72</v>
      </c>
      <c r="B164" s="12" t="s">
        <v>666</v>
      </c>
      <c r="C164" s="12" t="s">
        <v>671</v>
      </c>
      <c r="D164" s="12" t="s">
        <v>77</v>
      </c>
      <c r="E164" s="13" t="n">
        <v>116.6</v>
      </c>
      <c r="F164" s="13" t="n">
        <v>110.7</v>
      </c>
      <c r="G164" s="13" t="n">
        <v>87.5</v>
      </c>
      <c r="H164" s="13" t="n">
        <v>69.9</v>
      </c>
      <c r="I164" s="13"/>
      <c r="J164" s="13"/>
      <c r="K164" s="12" t="s">
        <v>781</v>
      </c>
      <c r="L164" s="12" t="s">
        <v>29</v>
      </c>
      <c r="M164" s="12" t="s">
        <v>78</v>
      </c>
      <c r="N164" s="12" t="s">
        <v>726</v>
      </c>
    </row>
    <row r="165" customFormat="false" ht="36" hidden="false" customHeight="true" outlineLevel="0" collapsed="false">
      <c r="A165" s="12" t="s">
        <v>786</v>
      </c>
      <c r="B165" s="12" t="s">
        <v>666</v>
      </c>
      <c r="C165" s="12" t="s">
        <v>787</v>
      </c>
      <c r="D165" s="12" t="s">
        <v>788</v>
      </c>
      <c r="E165" s="13" t="n">
        <v>73</v>
      </c>
      <c r="F165" s="13" t="n">
        <v>69</v>
      </c>
      <c r="G165" s="13"/>
      <c r="H165" s="13" t="n">
        <v>47</v>
      </c>
      <c r="I165" s="13"/>
      <c r="J165" s="13"/>
      <c r="K165" s="12" t="s">
        <v>789</v>
      </c>
      <c r="L165" s="12" t="s">
        <v>29</v>
      </c>
      <c r="M165" s="12" t="s">
        <v>44</v>
      </c>
      <c r="N165" s="12" t="s">
        <v>790</v>
      </c>
    </row>
    <row r="166" customFormat="false" ht="36" hidden="false" customHeight="true" outlineLevel="0" collapsed="false">
      <c r="A166" s="12" t="s">
        <v>786</v>
      </c>
      <c r="B166" s="12" t="s">
        <v>666</v>
      </c>
      <c r="C166" s="12" t="s">
        <v>791</v>
      </c>
      <c r="D166" s="12" t="s">
        <v>788</v>
      </c>
      <c r="E166" s="13" t="n">
        <v>142</v>
      </c>
      <c r="F166" s="13" t="n">
        <v>134</v>
      </c>
      <c r="G166" s="13"/>
      <c r="H166" s="13" t="n">
        <v>90.5</v>
      </c>
      <c r="I166" s="13"/>
      <c r="J166" s="13"/>
      <c r="K166" s="12" t="s">
        <v>789</v>
      </c>
      <c r="L166" s="12" t="s">
        <v>29</v>
      </c>
      <c r="M166" s="12" t="s">
        <v>44</v>
      </c>
      <c r="N166" s="12" t="s">
        <v>790</v>
      </c>
    </row>
    <row r="167" customFormat="false" ht="36" hidden="false" customHeight="true" outlineLevel="0" collapsed="false">
      <c r="A167" s="12" t="s">
        <v>786</v>
      </c>
      <c r="B167" s="12" t="s">
        <v>666</v>
      </c>
      <c r="C167" s="12" t="s">
        <v>792</v>
      </c>
      <c r="D167" s="12" t="s">
        <v>788</v>
      </c>
      <c r="E167" s="13" t="n">
        <v>203.5</v>
      </c>
      <c r="F167" s="13" t="n">
        <v>191.5</v>
      </c>
      <c r="G167" s="13"/>
      <c r="H167" s="13" t="n">
        <v>129</v>
      </c>
      <c r="I167" s="13"/>
      <c r="J167" s="13"/>
      <c r="K167" s="12" t="s">
        <v>789</v>
      </c>
      <c r="L167" s="12" t="s">
        <v>29</v>
      </c>
      <c r="M167" s="12" t="s">
        <v>44</v>
      </c>
      <c r="N167" s="12" t="s">
        <v>790</v>
      </c>
    </row>
    <row r="168" customFormat="false" ht="36" hidden="false" customHeight="true" outlineLevel="0" collapsed="false">
      <c r="A168" s="12" t="s">
        <v>786</v>
      </c>
      <c r="B168" s="12" t="s">
        <v>666</v>
      </c>
      <c r="C168" s="12" t="s">
        <v>793</v>
      </c>
      <c r="D168" s="12" t="s">
        <v>788</v>
      </c>
      <c r="E168" s="13" t="n">
        <v>260</v>
      </c>
      <c r="F168" s="13" t="n">
        <v>244</v>
      </c>
      <c r="G168" s="13"/>
      <c r="H168" s="13" t="n">
        <v>164.5</v>
      </c>
      <c r="I168" s="13"/>
      <c r="J168" s="13"/>
      <c r="K168" s="12" t="s">
        <v>789</v>
      </c>
      <c r="L168" s="12" t="s">
        <v>29</v>
      </c>
      <c r="M168" s="12" t="s">
        <v>44</v>
      </c>
      <c r="N168" s="12" t="s">
        <v>790</v>
      </c>
    </row>
    <row r="169" customFormat="false" ht="36" hidden="false" customHeight="true" outlineLevel="0" collapsed="false">
      <c r="A169" s="12" t="s">
        <v>786</v>
      </c>
      <c r="B169" s="12" t="s">
        <v>666</v>
      </c>
      <c r="C169" s="12" t="s">
        <v>794</v>
      </c>
      <c r="D169" s="12" t="s">
        <v>788</v>
      </c>
      <c r="E169" s="13" t="n">
        <v>314</v>
      </c>
      <c r="F169" s="13" t="n">
        <v>296</v>
      </c>
      <c r="G169" s="13"/>
      <c r="H169" s="13" t="n">
        <v>199</v>
      </c>
      <c r="I169" s="13"/>
      <c r="J169" s="13"/>
      <c r="K169" s="12" t="s">
        <v>789</v>
      </c>
      <c r="L169" s="12" t="s">
        <v>29</v>
      </c>
      <c r="M169" s="12" t="s">
        <v>44</v>
      </c>
      <c r="N169" s="12" t="s">
        <v>790</v>
      </c>
    </row>
    <row r="170" customFormat="false" ht="36" hidden="false" customHeight="true" outlineLevel="0" collapsed="false">
      <c r="A170" s="12" t="s">
        <v>786</v>
      </c>
      <c r="B170" s="12" t="s">
        <v>666</v>
      </c>
      <c r="C170" s="12" t="s">
        <v>795</v>
      </c>
      <c r="D170" s="12" t="s">
        <v>788</v>
      </c>
      <c r="E170" s="13" t="n">
        <v>363</v>
      </c>
      <c r="F170" s="13" t="n">
        <v>343.5</v>
      </c>
      <c r="G170" s="13"/>
      <c r="H170" s="13" t="n">
        <v>230.5</v>
      </c>
      <c r="I170" s="13"/>
      <c r="J170" s="13"/>
      <c r="K170" s="12" t="s">
        <v>789</v>
      </c>
      <c r="L170" s="12" t="s">
        <v>29</v>
      </c>
      <c r="M170" s="12" t="s">
        <v>44</v>
      </c>
      <c r="N170" s="12" t="s">
        <v>790</v>
      </c>
    </row>
    <row r="171" customFormat="false" ht="36" hidden="false" customHeight="true" outlineLevel="0" collapsed="false">
      <c r="A171" s="12" t="s">
        <v>786</v>
      </c>
      <c r="B171" s="12" t="s">
        <v>666</v>
      </c>
      <c r="C171" s="12" t="s">
        <v>796</v>
      </c>
      <c r="D171" s="12" t="s">
        <v>788</v>
      </c>
      <c r="E171" s="13" t="n">
        <v>410</v>
      </c>
      <c r="F171" s="13" t="n">
        <v>383</v>
      </c>
      <c r="G171" s="13"/>
      <c r="H171" s="13" t="n">
        <v>260</v>
      </c>
      <c r="I171" s="13"/>
      <c r="J171" s="13"/>
      <c r="K171" s="12" t="s">
        <v>789</v>
      </c>
      <c r="L171" s="12" t="s">
        <v>29</v>
      </c>
      <c r="M171" s="12" t="s">
        <v>44</v>
      </c>
      <c r="N171" s="12" t="s">
        <v>790</v>
      </c>
    </row>
    <row r="172" customFormat="false" ht="36" hidden="false" customHeight="true" outlineLevel="0" collapsed="false">
      <c r="A172" s="12" t="s">
        <v>20</v>
      </c>
      <c r="B172" s="12" t="s">
        <v>666</v>
      </c>
      <c r="C172" s="12" t="s">
        <v>670</v>
      </c>
      <c r="D172" s="12" t="s">
        <v>797</v>
      </c>
      <c r="E172" s="13" t="n">
        <v>63</v>
      </c>
      <c r="F172" s="13"/>
      <c r="G172" s="13" t="n">
        <v>50.5</v>
      </c>
      <c r="H172" s="13" t="n">
        <v>38</v>
      </c>
      <c r="I172" s="13"/>
      <c r="J172" s="13"/>
      <c r="K172" s="12" t="s">
        <v>798</v>
      </c>
      <c r="L172" s="12" t="s">
        <v>29</v>
      </c>
      <c r="M172" s="12" t="s">
        <v>799</v>
      </c>
      <c r="N172" s="12" t="s">
        <v>800</v>
      </c>
    </row>
    <row r="173" customFormat="false" ht="36" hidden="false" customHeight="true" outlineLevel="0" collapsed="false">
      <c r="A173" s="12" t="s">
        <v>20</v>
      </c>
      <c r="B173" s="12" t="s">
        <v>666</v>
      </c>
      <c r="C173" s="12" t="s">
        <v>785</v>
      </c>
      <c r="D173" s="12" t="s">
        <v>797</v>
      </c>
      <c r="E173" s="13" t="n">
        <v>37.5</v>
      </c>
      <c r="F173" s="13"/>
      <c r="G173" s="13" t="n">
        <v>30</v>
      </c>
      <c r="H173" s="13" t="n">
        <v>22.5</v>
      </c>
      <c r="I173" s="13"/>
      <c r="J173" s="13"/>
      <c r="K173" s="12" t="s">
        <v>798</v>
      </c>
      <c r="L173" s="12" t="s">
        <v>29</v>
      </c>
      <c r="M173" s="12" t="s">
        <v>799</v>
      </c>
      <c r="N173" s="12" t="s">
        <v>800</v>
      </c>
    </row>
    <row r="174" customFormat="false" ht="36" hidden="false" customHeight="true" outlineLevel="0" collapsed="false">
      <c r="A174" s="12" t="s">
        <v>20</v>
      </c>
      <c r="B174" s="12" t="s">
        <v>666</v>
      </c>
      <c r="C174" s="12" t="s">
        <v>671</v>
      </c>
      <c r="D174" s="12" t="s">
        <v>797</v>
      </c>
      <c r="E174" s="13" t="n">
        <v>123.5</v>
      </c>
      <c r="F174" s="13"/>
      <c r="G174" s="13" t="n">
        <v>99</v>
      </c>
      <c r="H174" s="13" t="n">
        <v>74</v>
      </c>
      <c r="I174" s="13"/>
      <c r="J174" s="13"/>
      <c r="K174" s="12" t="s">
        <v>798</v>
      </c>
      <c r="L174" s="12" t="s">
        <v>29</v>
      </c>
      <c r="M174" s="12" t="s">
        <v>799</v>
      </c>
      <c r="N174" s="12" t="s">
        <v>800</v>
      </c>
    </row>
    <row r="175" customFormat="false" ht="36" hidden="false" customHeight="true" outlineLevel="0" collapsed="false">
      <c r="A175" s="12" t="s">
        <v>20</v>
      </c>
      <c r="B175" s="12" t="s">
        <v>666</v>
      </c>
      <c r="C175" s="12" t="s">
        <v>672</v>
      </c>
      <c r="D175" s="12" t="s">
        <v>797</v>
      </c>
      <c r="E175" s="13" t="n">
        <v>185</v>
      </c>
      <c r="F175" s="13"/>
      <c r="G175" s="13" t="n">
        <v>148</v>
      </c>
      <c r="H175" s="13" t="n">
        <v>111</v>
      </c>
      <c r="I175" s="13"/>
      <c r="J175" s="13"/>
      <c r="K175" s="12" t="s">
        <v>798</v>
      </c>
      <c r="L175" s="12" t="s">
        <v>29</v>
      </c>
      <c r="M175" s="12" t="s">
        <v>799</v>
      </c>
      <c r="N175" s="12" t="s">
        <v>800</v>
      </c>
    </row>
    <row r="176" customFormat="false" ht="36" hidden="false" customHeight="true" outlineLevel="0" collapsed="false">
      <c r="A176" s="12" t="s">
        <v>20</v>
      </c>
      <c r="B176" s="12" t="s">
        <v>666</v>
      </c>
      <c r="C176" s="12" t="s">
        <v>741</v>
      </c>
      <c r="D176" s="12" t="s">
        <v>797</v>
      </c>
      <c r="E176" s="13" t="n">
        <v>236</v>
      </c>
      <c r="F176" s="13"/>
      <c r="G176" s="13" t="n">
        <v>189</v>
      </c>
      <c r="H176" s="13" t="n">
        <v>141.5</v>
      </c>
      <c r="I176" s="13"/>
      <c r="J176" s="13"/>
      <c r="K176" s="12" t="s">
        <v>798</v>
      </c>
      <c r="L176" s="12" t="s">
        <v>29</v>
      </c>
      <c r="M176" s="12" t="s">
        <v>799</v>
      </c>
      <c r="N176" s="12" t="s">
        <v>800</v>
      </c>
    </row>
    <row r="177" customFormat="false" ht="36" hidden="false" customHeight="true" outlineLevel="0" collapsed="false">
      <c r="A177" s="12" t="s">
        <v>20</v>
      </c>
      <c r="B177" s="12" t="s">
        <v>666</v>
      </c>
      <c r="C177" s="12" t="s">
        <v>673</v>
      </c>
      <c r="D177" s="12" t="s">
        <v>797</v>
      </c>
      <c r="E177" s="13" t="n">
        <v>287</v>
      </c>
      <c r="F177" s="13"/>
      <c r="G177" s="13" t="n">
        <v>229.5</v>
      </c>
      <c r="H177" s="13" t="n">
        <v>172</v>
      </c>
      <c r="I177" s="13"/>
      <c r="J177" s="13"/>
      <c r="K177" s="12" t="s">
        <v>798</v>
      </c>
      <c r="L177" s="12" t="s">
        <v>29</v>
      </c>
      <c r="M177" s="12" t="s">
        <v>799</v>
      </c>
      <c r="N177" s="12" t="s">
        <v>800</v>
      </c>
    </row>
    <row r="178" customFormat="false" ht="36" hidden="false" customHeight="true" outlineLevel="0" collapsed="false">
      <c r="A178" s="12" t="s">
        <v>20</v>
      </c>
      <c r="B178" s="12" t="s">
        <v>666</v>
      </c>
      <c r="C178" s="12" t="s">
        <v>677</v>
      </c>
      <c r="D178" s="12" t="s">
        <v>797</v>
      </c>
      <c r="E178" s="13" t="n">
        <v>326</v>
      </c>
      <c r="F178" s="13"/>
      <c r="G178" s="13" t="n">
        <v>261</v>
      </c>
      <c r="H178" s="13" t="n">
        <v>195.5</v>
      </c>
      <c r="I178" s="13"/>
      <c r="J178" s="13"/>
      <c r="K178" s="12" t="s">
        <v>798</v>
      </c>
      <c r="L178" s="12" t="s">
        <v>29</v>
      </c>
      <c r="M178" s="12" t="s">
        <v>799</v>
      </c>
      <c r="N178" s="12" t="s">
        <v>800</v>
      </c>
    </row>
    <row r="179" customFormat="false" ht="36" hidden="false" customHeight="true" outlineLevel="0" collapsed="false">
      <c r="A179" s="12" t="s">
        <v>89</v>
      </c>
      <c r="B179" s="12" t="s">
        <v>666</v>
      </c>
      <c r="C179" s="12" t="s">
        <v>670</v>
      </c>
      <c r="D179" s="12" t="s">
        <v>797</v>
      </c>
      <c r="E179" s="13" t="n">
        <v>50</v>
      </c>
      <c r="F179" s="13"/>
      <c r="G179" s="13" t="n">
        <v>37.5</v>
      </c>
      <c r="H179" s="13" t="n">
        <v>29.5</v>
      </c>
      <c r="I179" s="13"/>
      <c r="J179" s="13"/>
      <c r="K179" s="12" t="s">
        <v>798</v>
      </c>
      <c r="L179" s="12" t="s">
        <v>29</v>
      </c>
      <c r="M179" s="12" t="s">
        <v>96</v>
      </c>
      <c r="N179" s="12" t="s">
        <v>800</v>
      </c>
    </row>
    <row r="180" customFormat="false" ht="36" hidden="false" customHeight="true" outlineLevel="0" collapsed="false">
      <c r="A180" s="12" t="s">
        <v>89</v>
      </c>
      <c r="B180" s="12" t="s">
        <v>666</v>
      </c>
      <c r="C180" s="12" t="s">
        <v>671</v>
      </c>
      <c r="D180" s="12" t="s">
        <v>797</v>
      </c>
      <c r="E180" s="13" t="n">
        <v>98</v>
      </c>
      <c r="F180" s="13"/>
      <c r="G180" s="13" t="n">
        <v>70.5</v>
      </c>
      <c r="H180" s="13" t="n">
        <v>56</v>
      </c>
      <c r="I180" s="13"/>
      <c r="J180" s="13"/>
      <c r="K180" s="12" t="s">
        <v>798</v>
      </c>
      <c r="L180" s="12" t="s">
        <v>29</v>
      </c>
      <c r="M180" s="12" t="s">
        <v>96</v>
      </c>
      <c r="N180" s="12" t="s">
        <v>800</v>
      </c>
    </row>
    <row r="181" customFormat="false" ht="36" hidden="false" customHeight="true" outlineLevel="0" collapsed="false">
      <c r="A181" s="12" t="s">
        <v>89</v>
      </c>
      <c r="B181" s="12" t="s">
        <v>666</v>
      </c>
      <c r="C181" s="12" t="s">
        <v>672</v>
      </c>
      <c r="D181" s="12" t="s">
        <v>797</v>
      </c>
      <c r="E181" s="13" t="n">
        <v>145</v>
      </c>
      <c r="F181" s="13"/>
      <c r="G181" s="13" t="n">
        <v>103</v>
      </c>
      <c r="H181" s="13" t="n">
        <v>78</v>
      </c>
      <c r="I181" s="13"/>
      <c r="J181" s="13"/>
      <c r="K181" s="12" t="s">
        <v>798</v>
      </c>
      <c r="L181" s="12" t="s">
        <v>29</v>
      </c>
      <c r="M181" s="12" t="s">
        <v>96</v>
      </c>
      <c r="N181" s="12" t="s">
        <v>800</v>
      </c>
    </row>
    <row r="182" customFormat="false" ht="36" hidden="false" customHeight="true" outlineLevel="0" collapsed="false">
      <c r="A182" s="12" t="s">
        <v>89</v>
      </c>
      <c r="B182" s="12" t="s">
        <v>666</v>
      </c>
      <c r="C182" s="12" t="s">
        <v>677</v>
      </c>
      <c r="D182" s="12" t="s">
        <v>797</v>
      </c>
      <c r="E182" s="13" t="n">
        <v>255</v>
      </c>
      <c r="F182" s="13"/>
      <c r="G182" s="13" t="n">
        <v>182</v>
      </c>
      <c r="H182" s="13" t="n">
        <v>140</v>
      </c>
      <c r="I182" s="13"/>
      <c r="J182" s="13"/>
      <c r="K182" s="12" t="s">
        <v>798</v>
      </c>
      <c r="L182" s="12" t="s">
        <v>29</v>
      </c>
      <c r="M182" s="12" t="s">
        <v>96</v>
      </c>
      <c r="N182" s="12" t="s">
        <v>800</v>
      </c>
    </row>
    <row r="183" customFormat="false" ht="36" hidden="false" customHeight="true" outlineLevel="0" collapsed="false">
      <c r="A183" s="12" t="s">
        <v>89</v>
      </c>
      <c r="B183" s="12" t="s">
        <v>666</v>
      </c>
      <c r="C183" s="12" t="s">
        <v>599</v>
      </c>
      <c r="D183" s="12" t="s">
        <v>797</v>
      </c>
      <c r="E183" s="13" t="n">
        <v>447.5</v>
      </c>
      <c r="F183" s="13"/>
      <c r="G183" s="13" t="n">
        <v>354.5</v>
      </c>
      <c r="H183" s="13" t="n">
        <v>263</v>
      </c>
      <c r="I183" s="13"/>
      <c r="J183" s="13"/>
      <c r="K183" s="12" t="s">
        <v>798</v>
      </c>
      <c r="L183" s="12" t="s">
        <v>29</v>
      </c>
      <c r="M183" s="12" t="s">
        <v>96</v>
      </c>
      <c r="N183" s="12" t="s">
        <v>800</v>
      </c>
    </row>
    <row r="184" customFormat="false" ht="36" hidden="false" customHeight="true" outlineLevel="0" collapsed="false">
      <c r="A184" s="12" t="s">
        <v>168</v>
      </c>
      <c r="B184" s="12" t="s">
        <v>666</v>
      </c>
      <c r="C184" s="12" t="s">
        <v>670</v>
      </c>
      <c r="D184" s="12" t="s">
        <v>797</v>
      </c>
      <c r="E184" s="13" t="n">
        <v>58.5</v>
      </c>
      <c r="F184" s="13"/>
      <c r="G184" s="13" t="n">
        <v>51</v>
      </c>
      <c r="H184" s="13" t="n">
        <v>29.8</v>
      </c>
      <c r="I184" s="13"/>
      <c r="J184" s="13"/>
      <c r="K184" s="12" t="s">
        <v>798</v>
      </c>
      <c r="L184" s="12" t="s">
        <v>29</v>
      </c>
      <c r="M184" s="12" t="s">
        <v>173</v>
      </c>
      <c r="N184" s="12" t="s">
        <v>800</v>
      </c>
    </row>
    <row r="185" customFormat="false" ht="36" hidden="false" customHeight="true" outlineLevel="0" collapsed="false">
      <c r="A185" s="12" t="s">
        <v>168</v>
      </c>
      <c r="B185" s="12" t="s">
        <v>666</v>
      </c>
      <c r="C185" s="12" t="s">
        <v>801</v>
      </c>
      <c r="D185" s="12" t="s">
        <v>797</v>
      </c>
      <c r="E185" s="13" t="n">
        <v>43</v>
      </c>
      <c r="F185" s="13"/>
      <c r="G185" s="13" t="n">
        <v>30.1</v>
      </c>
      <c r="H185" s="13" t="n">
        <v>21.9</v>
      </c>
      <c r="I185" s="13"/>
      <c r="J185" s="13"/>
      <c r="K185" s="12" t="s">
        <v>798</v>
      </c>
      <c r="L185" s="12" t="s">
        <v>29</v>
      </c>
      <c r="M185" s="12" t="s">
        <v>173</v>
      </c>
      <c r="N185" s="12" t="s">
        <v>800</v>
      </c>
    </row>
    <row r="186" customFormat="false" ht="36" hidden="false" customHeight="true" outlineLevel="0" collapsed="false">
      <c r="A186" s="12" t="s">
        <v>168</v>
      </c>
      <c r="B186" s="12" t="s">
        <v>666</v>
      </c>
      <c r="C186" s="12" t="s">
        <v>671</v>
      </c>
      <c r="D186" s="12" t="s">
        <v>797</v>
      </c>
      <c r="E186" s="13" t="n">
        <v>113.5</v>
      </c>
      <c r="F186" s="13"/>
      <c r="G186" s="13" t="n">
        <v>79.5</v>
      </c>
      <c r="H186" s="13" t="n">
        <v>57.9</v>
      </c>
      <c r="I186" s="13"/>
      <c r="J186" s="13"/>
      <c r="K186" s="12" t="s">
        <v>798</v>
      </c>
      <c r="L186" s="12" t="s">
        <v>29</v>
      </c>
      <c r="M186" s="12" t="s">
        <v>173</v>
      </c>
      <c r="N186" s="12" t="s">
        <v>800</v>
      </c>
    </row>
    <row r="187" customFormat="false" ht="36" hidden="false" customHeight="true" outlineLevel="0" collapsed="false">
      <c r="A187" s="12" t="s">
        <v>168</v>
      </c>
      <c r="B187" s="12" t="s">
        <v>666</v>
      </c>
      <c r="C187" s="12" t="s">
        <v>672</v>
      </c>
      <c r="D187" s="12" t="s">
        <v>797</v>
      </c>
      <c r="E187" s="13" t="n">
        <v>159</v>
      </c>
      <c r="F187" s="13"/>
      <c r="G187" s="13" t="n">
        <v>111.3</v>
      </c>
      <c r="H187" s="13" t="n">
        <v>81.1</v>
      </c>
      <c r="I187" s="13"/>
      <c r="J187" s="13"/>
      <c r="K187" s="12" t="s">
        <v>798</v>
      </c>
      <c r="L187" s="12" t="s">
        <v>29</v>
      </c>
      <c r="M187" s="12" t="s">
        <v>173</v>
      </c>
      <c r="N187" s="12" t="s">
        <v>800</v>
      </c>
    </row>
    <row r="188" customFormat="false" ht="36" hidden="false" customHeight="true" outlineLevel="0" collapsed="false">
      <c r="A188" s="12" t="s">
        <v>144</v>
      </c>
      <c r="B188" s="12" t="s">
        <v>707</v>
      </c>
      <c r="C188" s="12" t="s">
        <v>802</v>
      </c>
      <c r="D188" s="12" t="s">
        <v>797</v>
      </c>
      <c r="E188" s="13" t="n">
        <v>28</v>
      </c>
      <c r="F188" s="13"/>
      <c r="G188" s="13" t="n">
        <v>23</v>
      </c>
      <c r="H188" s="13" t="n">
        <v>19</v>
      </c>
      <c r="I188" s="13"/>
      <c r="J188" s="13"/>
      <c r="K188" s="12" t="s">
        <v>798</v>
      </c>
      <c r="L188" s="12" t="s">
        <v>29</v>
      </c>
      <c r="M188" s="12" t="s">
        <v>151</v>
      </c>
      <c r="N188" s="12" t="s">
        <v>800</v>
      </c>
    </row>
    <row r="189" customFormat="false" ht="36" hidden="false" customHeight="true" outlineLevel="0" collapsed="false">
      <c r="A189" s="12" t="s">
        <v>144</v>
      </c>
      <c r="B189" s="12" t="s">
        <v>707</v>
      </c>
      <c r="C189" s="12" t="s">
        <v>803</v>
      </c>
      <c r="D189" s="12" t="s">
        <v>797</v>
      </c>
      <c r="E189" s="13" t="n">
        <v>23</v>
      </c>
      <c r="F189" s="13"/>
      <c r="G189" s="13" t="n">
        <v>18</v>
      </c>
      <c r="H189" s="13" t="n">
        <v>15</v>
      </c>
      <c r="I189" s="13"/>
      <c r="J189" s="13"/>
      <c r="K189" s="12" t="s">
        <v>798</v>
      </c>
      <c r="L189" s="12" t="s">
        <v>29</v>
      </c>
      <c r="M189" s="12" t="s">
        <v>151</v>
      </c>
      <c r="N189" s="12" t="s">
        <v>800</v>
      </c>
    </row>
    <row r="190" customFormat="false" ht="36" hidden="false" customHeight="true" outlineLevel="0" collapsed="false">
      <c r="A190" s="12" t="s">
        <v>144</v>
      </c>
      <c r="B190" s="12" t="s">
        <v>707</v>
      </c>
      <c r="C190" s="12" t="s">
        <v>804</v>
      </c>
      <c r="D190" s="12" t="s">
        <v>797</v>
      </c>
      <c r="E190" s="13" t="n">
        <v>48</v>
      </c>
      <c r="F190" s="13"/>
      <c r="G190" s="13" t="n">
        <v>39</v>
      </c>
      <c r="H190" s="13" t="n">
        <v>32</v>
      </c>
      <c r="I190" s="13"/>
      <c r="J190" s="13"/>
      <c r="K190" s="12" t="s">
        <v>798</v>
      </c>
      <c r="L190" s="12" t="s">
        <v>29</v>
      </c>
      <c r="M190" s="12" t="s">
        <v>151</v>
      </c>
      <c r="N190" s="12" t="s">
        <v>800</v>
      </c>
    </row>
    <row r="191" customFormat="false" ht="36" hidden="false" customHeight="true" outlineLevel="0" collapsed="false">
      <c r="A191" s="12" t="s">
        <v>805</v>
      </c>
      <c r="B191" s="12" t="s">
        <v>666</v>
      </c>
      <c r="C191" s="12" t="s">
        <v>670</v>
      </c>
      <c r="D191" s="12" t="s">
        <v>797</v>
      </c>
      <c r="E191" s="13" t="n">
        <v>45.5</v>
      </c>
      <c r="F191" s="13"/>
      <c r="G191" s="13" t="n">
        <v>34</v>
      </c>
      <c r="H191" s="13" t="n">
        <v>26</v>
      </c>
      <c r="I191" s="13"/>
      <c r="J191" s="13"/>
      <c r="K191" s="12" t="s">
        <v>798</v>
      </c>
      <c r="L191" s="12" t="s">
        <v>29</v>
      </c>
      <c r="M191" s="12" t="s">
        <v>143</v>
      </c>
      <c r="N191" s="12" t="s">
        <v>800</v>
      </c>
    </row>
    <row r="192" customFormat="false" ht="36" hidden="false" customHeight="true" outlineLevel="0" collapsed="false">
      <c r="A192" s="12" t="s">
        <v>805</v>
      </c>
      <c r="B192" s="12" t="s">
        <v>666</v>
      </c>
      <c r="C192" s="12" t="s">
        <v>806</v>
      </c>
      <c r="D192" s="12" t="s">
        <v>797</v>
      </c>
      <c r="E192" s="13" t="n">
        <v>36.5</v>
      </c>
      <c r="F192" s="13"/>
      <c r="G192" s="13" t="n">
        <v>27</v>
      </c>
      <c r="H192" s="13" t="n">
        <v>21</v>
      </c>
      <c r="I192" s="13"/>
      <c r="J192" s="13"/>
      <c r="K192" s="12" t="s">
        <v>798</v>
      </c>
      <c r="L192" s="12" t="s">
        <v>29</v>
      </c>
      <c r="M192" s="12" t="s">
        <v>143</v>
      </c>
      <c r="N192" s="12" t="s">
        <v>800</v>
      </c>
    </row>
    <row r="193" customFormat="false" ht="36" hidden="false" customHeight="true" outlineLevel="0" collapsed="false">
      <c r="A193" s="12" t="s">
        <v>805</v>
      </c>
      <c r="B193" s="12" t="s">
        <v>666</v>
      </c>
      <c r="C193" s="12" t="s">
        <v>807</v>
      </c>
      <c r="D193" s="12" t="s">
        <v>797</v>
      </c>
      <c r="E193" s="13" t="n">
        <v>38.5</v>
      </c>
      <c r="F193" s="13"/>
      <c r="G193" s="13" t="n">
        <v>29</v>
      </c>
      <c r="H193" s="13" t="n">
        <v>22.5</v>
      </c>
      <c r="I193" s="13"/>
      <c r="J193" s="13"/>
      <c r="K193" s="12" t="s">
        <v>798</v>
      </c>
      <c r="L193" s="12" t="s">
        <v>29</v>
      </c>
      <c r="M193" s="12" t="s">
        <v>143</v>
      </c>
      <c r="N193" s="12" t="s">
        <v>800</v>
      </c>
    </row>
    <row r="194" customFormat="false" ht="36" hidden="false" customHeight="true" outlineLevel="0" collapsed="false">
      <c r="A194" s="12" t="s">
        <v>805</v>
      </c>
      <c r="B194" s="12" t="s">
        <v>666</v>
      </c>
      <c r="C194" s="12" t="s">
        <v>671</v>
      </c>
      <c r="D194" s="12" t="s">
        <v>797</v>
      </c>
      <c r="E194" s="13" t="n">
        <v>84</v>
      </c>
      <c r="F194" s="13"/>
      <c r="G194" s="13" t="n">
        <v>62.5</v>
      </c>
      <c r="H194" s="13" t="n">
        <v>48</v>
      </c>
      <c r="I194" s="13"/>
      <c r="J194" s="13"/>
      <c r="K194" s="12" t="s">
        <v>798</v>
      </c>
      <c r="L194" s="12" t="s">
        <v>29</v>
      </c>
      <c r="M194" s="12" t="s">
        <v>143</v>
      </c>
      <c r="N194" s="12" t="s">
        <v>800</v>
      </c>
    </row>
    <row r="195" customFormat="false" ht="36" hidden="false" customHeight="true" outlineLevel="0" collapsed="false">
      <c r="A195" s="12" t="s">
        <v>805</v>
      </c>
      <c r="B195" s="12" t="s">
        <v>666</v>
      </c>
      <c r="C195" s="12" t="s">
        <v>599</v>
      </c>
      <c r="D195" s="12" t="s">
        <v>797</v>
      </c>
      <c r="E195" s="13" t="n">
        <v>399</v>
      </c>
      <c r="F195" s="13"/>
      <c r="G195" s="13" t="n">
        <v>259</v>
      </c>
      <c r="H195" s="13" t="n">
        <v>199</v>
      </c>
      <c r="I195" s="13"/>
      <c r="J195" s="13"/>
      <c r="K195" s="12" t="s">
        <v>798</v>
      </c>
      <c r="L195" s="12" t="s">
        <v>29</v>
      </c>
      <c r="M195" s="12" t="s">
        <v>143</v>
      </c>
      <c r="N195" s="12" t="s">
        <v>800</v>
      </c>
    </row>
    <row r="196" customFormat="false" ht="36" hidden="false" customHeight="true" outlineLevel="0" collapsed="false">
      <c r="A196" s="12" t="s">
        <v>131</v>
      </c>
      <c r="B196" s="12" t="s">
        <v>666</v>
      </c>
      <c r="C196" s="12" t="s">
        <v>670</v>
      </c>
      <c r="D196" s="12" t="s">
        <v>797</v>
      </c>
      <c r="E196" s="13" t="n">
        <v>41</v>
      </c>
      <c r="F196" s="13"/>
      <c r="G196" s="13" t="n">
        <v>38</v>
      </c>
      <c r="H196" s="13" t="n">
        <v>27.5</v>
      </c>
      <c r="I196" s="13"/>
      <c r="J196" s="13"/>
      <c r="K196" s="12" t="s">
        <v>798</v>
      </c>
      <c r="L196" s="12" t="s">
        <v>29</v>
      </c>
      <c r="M196" s="12" t="s">
        <v>136</v>
      </c>
      <c r="N196" s="12" t="s">
        <v>800</v>
      </c>
    </row>
    <row r="197" customFormat="false" ht="36" hidden="false" customHeight="true" outlineLevel="0" collapsed="false">
      <c r="A197" s="12" t="s">
        <v>131</v>
      </c>
      <c r="B197" s="12" t="s">
        <v>666</v>
      </c>
      <c r="C197" s="12" t="s">
        <v>808</v>
      </c>
      <c r="D197" s="12" t="s">
        <v>797</v>
      </c>
      <c r="E197" s="13" t="n">
        <v>38.5</v>
      </c>
      <c r="F197" s="13"/>
      <c r="G197" s="13" t="n">
        <v>36</v>
      </c>
      <c r="H197" s="13" t="n">
        <v>26</v>
      </c>
      <c r="I197" s="13"/>
      <c r="J197" s="13"/>
      <c r="K197" s="12" t="s">
        <v>798</v>
      </c>
      <c r="L197" s="12" t="s">
        <v>29</v>
      </c>
      <c r="M197" s="12" t="s">
        <v>136</v>
      </c>
      <c r="N197" s="12" t="s">
        <v>800</v>
      </c>
    </row>
    <row r="198" customFormat="false" ht="36" hidden="false" customHeight="true" outlineLevel="0" collapsed="false">
      <c r="A198" s="12" t="s">
        <v>131</v>
      </c>
      <c r="B198" s="12" t="s">
        <v>666</v>
      </c>
      <c r="C198" s="12" t="s">
        <v>801</v>
      </c>
      <c r="D198" s="12" t="s">
        <v>797</v>
      </c>
      <c r="E198" s="13" t="n">
        <v>32</v>
      </c>
      <c r="F198" s="13"/>
      <c r="G198" s="13" t="n">
        <v>30</v>
      </c>
      <c r="H198" s="13" t="n">
        <v>21.5</v>
      </c>
      <c r="I198" s="13"/>
      <c r="J198" s="13"/>
      <c r="K198" s="12" t="s">
        <v>798</v>
      </c>
      <c r="L198" s="12" t="s">
        <v>29</v>
      </c>
      <c r="M198" s="12" t="s">
        <v>136</v>
      </c>
      <c r="N198" s="12" t="s">
        <v>800</v>
      </c>
    </row>
    <row r="199" customFormat="false" ht="36" hidden="false" customHeight="true" outlineLevel="0" collapsed="false">
      <c r="A199" s="12" t="s">
        <v>131</v>
      </c>
      <c r="B199" s="12" t="s">
        <v>803</v>
      </c>
      <c r="C199" s="12" t="s">
        <v>802</v>
      </c>
      <c r="D199" s="12" t="s">
        <v>797</v>
      </c>
      <c r="E199" s="13" t="n">
        <v>17</v>
      </c>
      <c r="F199" s="13"/>
      <c r="G199" s="13" t="n">
        <v>16</v>
      </c>
      <c r="H199" s="13" t="n">
        <v>10</v>
      </c>
      <c r="I199" s="13"/>
      <c r="J199" s="13"/>
      <c r="K199" s="12" t="s">
        <v>798</v>
      </c>
      <c r="L199" s="12" t="s">
        <v>29</v>
      </c>
      <c r="M199" s="12" t="s">
        <v>136</v>
      </c>
      <c r="N199" s="12" t="s">
        <v>800</v>
      </c>
    </row>
    <row r="200" customFormat="false" ht="36" hidden="false" customHeight="true" outlineLevel="0" collapsed="false">
      <c r="A200" s="12" t="s">
        <v>111</v>
      </c>
      <c r="B200" s="12" t="s">
        <v>707</v>
      </c>
      <c r="C200" s="12" t="s">
        <v>809</v>
      </c>
      <c r="D200" s="12" t="s">
        <v>810</v>
      </c>
      <c r="E200" s="13" t="n">
        <v>56</v>
      </c>
      <c r="F200" s="13" t="n">
        <v>51.5</v>
      </c>
      <c r="G200" s="13" t="n">
        <v>44.8</v>
      </c>
      <c r="H200" s="13" t="n">
        <v>33.6</v>
      </c>
      <c r="I200" s="13"/>
      <c r="J200" s="13"/>
      <c r="K200" s="12" t="s">
        <v>811</v>
      </c>
      <c r="L200" s="12" t="s">
        <v>29</v>
      </c>
      <c r="M200" s="12" t="s">
        <v>118</v>
      </c>
      <c r="N200" s="12" t="s">
        <v>726</v>
      </c>
    </row>
    <row r="201" customFormat="false" ht="36" hidden="false" customHeight="true" outlineLevel="0" collapsed="false">
      <c r="A201" s="12" t="s">
        <v>111</v>
      </c>
      <c r="B201" s="12" t="s">
        <v>707</v>
      </c>
      <c r="C201" s="12" t="s">
        <v>812</v>
      </c>
      <c r="D201" s="12" t="s">
        <v>810</v>
      </c>
      <c r="E201" s="13" t="n">
        <v>33.6</v>
      </c>
      <c r="F201" s="13" t="n">
        <v>30.9</v>
      </c>
      <c r="G201" s="13" t="n">
        <v>26.9</v>
      </c>
      <c r="H201" s="13" t="n">
        <v>20.2</v>
      </c>
      <c r="I201" s="13"/>
      <c r="J201" s="13"/>
      <c r="K201" s="12" t="s">
        <v>811</v>
      </c>
      <c r="L201" s="12" t="s">
        <v>29</v>
      </c>
      <c r="M201" s="12" t="s">
        <v>118</v>
      </c>
      <c r="N201" s="12" t="s">
        <v>726</v>
      </c>
    </row>
    <row r="202" customFormat="false" ht="36" hidden="false" customHeight="true" outlineLevel="0" collapsed="false">
      <c r="A202" s="12" t="s">
        <v>111</v>
      </c>
      <c r="B202" s="12" t="s">
        <v>707</v>
      </c>
      <c r="C202" s="12" t="s">
        <v>813</v>
      </c>
      <c r="D202" s="12" t="s">
        <v>810</v>
      </c>
      <c r="E202" s="13" t="n">
        <v>50.4</v>
      </c>
      <c r="F202" s="13" t="n">
        <v>46.4</v>
      </c>
      <c r="G202" s="13" t="n">
        <v>40.3</v>
      </c>
      <c r="H202" s="13" t="n">
        <v>30.2</v>
      </c>
      <c r="I202" s="13"/>
      <c r="J202" s="13"/>
      <c r="K202" s="12" t="s">
        <v>811</v>
      </c>
      <c r="L202" s="12" t="s">
        <v>29</v>
      </c>
      <c r="M202" s="12" t="s">
        <v>118</v>
      </c>
      <c r="N202" s="12" t="s">
        <v>726</v>
      </c>
    </row>
    <row r="203" customFormat="false" ht="36" hidden="false" customHeight="true" outlineLevel="0" collapsed="false">
      <c r="A203" s="12" t="s">
        <v>111</v>
      </c>
      <c r="B203" s="12" t="s">
        <v>707</v>
      </c>
      <c r="C203" s="12" t="s">
        <v>814</v>
      </c>
      <c r="D203" s="12" t="s">
        <v>810</v>
      </c>
      <c r="E203" s="13" t="n">
        <v>30.2</v>
      </c>
      <c r="F203" s="13" t="n">
        <v>27.8</v>
      </c>
      <c r="G203" s="13" t="n">
        <v>24.2</v>
      </c>
      <c r="H203" s="13" t="n">
        <v>18.1</v>
      </c>
      <c r="I203" s="13"/>
      <c r="J203" s="13"/>
      <c r="K203" s="12" t="s">
        <v>811</v>
      </c>
      <c r="L203" s="12" t="s">
        <v>29</v>
      </c>
      <c r="M203" s="12" t="s">
        <v>118</v>
      </c>
      <c r="N203" s="12" t="s">
        <v>726</v>
      </c>
    </row>
    <row r="204" customFormat="false" ht="36" hidden="false" customHeight="true" outlineLevel="0" collapsed="false">
      <c r="A204" s="12" t="s">
        <v>111</v>
      </c>
      <c r="B204" s="12" t="s">
        <v>707</v>
      </c>
      <c r="C204" s="12" t="s">
        <v>815</v>
      </c>
      <c r="D204" s="12" t="s">
        <v>810</v>
      </c>
      <c r="E204" s="13" t="n">
        <v>14</v>
      </c>
      <c r="F204" s="13" t="n">
        <v>12.9</v>
      </c>
      <c r="G204" s="13" t="n">
        <v>11.2</v>
      </c>
      <c r="H204" s="13" t="n">
        <v>8.4</v>
      </c>
      <c r="I204" s="13"/>
      <c r="J204" s="13"/>
      <c r="K204" s="12" t="s">
        <v>811</v>
      </c>
      <c r="L204" s="12" t="s">
        <v>29</v>
      </c>
      <c r="M204" s="12" t="s">
        <v>118</v>
      </c>
      <c r="N204" s="12" t="s">
        <v>726</v>
      </c>
    </row>
    <row r="205" customFormat="false" ht="36" hidden="false" customHeight="true" outlineLevel="0" collapsed="false">
      <c r="A205" s="12" t="s">
        <v>111</v>
      </c>
      <c r="B205" s="12" t="s">
        <v>707</v>
      </c>
      <c r="C205" s="12" t="s">
        <v>816</v>
      </c>
      <c r="D205" s="12" t="s">
        <v>810</v>
      </c>
      <c r="E205" s="13" t="n">
        <v>335</v>
      </c>
      <c r="F205" s="13" t="n">
        <v>305</v>
      </c>
      <c r="G205" s="13" t="n">
        <v>270</v>
      </c>
      <c r="H205" s="13" t="n">
        <v>190</v>
      </c>
      <c r="I205" s="13"/>
      <c r="J205" s="13"/>
      <c r="K205" s="12" t="s">
        <v>811</v>
      </c>
      <c r="L205" s="12" t="s">
        <v>29</v>
      </c>
      <c r="M205" s="12" t="s">
        <v>118</v>
      </c>
      <c r="N205" s="12" t="s">
        <v>726</v>
      </c>
    </row>
    <row r="206" customFormat="false" ht="36" hidden="false" customHeight="true" outlineLevel="0" collapsed="false">
      <c r="A206" s="12" t="s">
        <v>251</v>
      </c>
      <c r="B206" s="12" t="s">
        <v>817</v>
      </c>
      <c r="C206" s="12" t="s">
        <v>260</v>
      </c>
      <c r="D206" s="12" t="s">
        <v>261</v>
      </c>
      <c r="E206" s="13" t="n">
        <v>10.9</v>
      </c>
      <c r="F206" s="13"/>
      <c r="G206" s="13"/>
      <c r="H206" s="13" t="n">
        <v>6</v>
      </c>
      <c r="I206" s="13"/>
      <c r="J206" s="13"/>
      <c r="K206" s="12" t="s">
        <v>818</v>
      </c>
      <c r="L206" s="12" t="s">
        <v>29</v>
      </c>
      <c r="M206" s="12" t="s">
        <v>262</v>
      </c>
      <c r="N206" s="12" t="s">
        <v>726</v>
      </c>
    </row>
    <row r="207" customFormat="false" ht="36" hidden="false" customHeight="true" outlineLevel="0" collapsed="false">
      <c r="A207" s="12" t="s">
        <v>251</v>
      </c>
      <c r="B207" s="12" t="s">
        <v>817</v>
      </c>
      <c r="C207" s="12" t="s">
        <v>819</v>
      </c>
      <c r="D207" s="12" t="s">
        <v>261</v>
      </c>
      <c r="E207" s="13" t="n">
        <v>8.6</v>
      </c>
      <c r="F207" s="13"/>
      <c r="G207" s="13"/>
      <c r="H207" s="13" t="n">
        <v>4.4</v>
      </c>
      <c r="I207" s="13"/>
      <c r="J207" s="13"/>
      <c r="K207" s="12" t="s">
        <v>818</v>
      </c>
      <c r="L207" s="12" t="s">
        <v>29</v>
      </c>
      <c r="M207" s="12" t="s">
        <v>262</v>
      </c>
      <c r="N207" s="12" t="s">
        <v>726</v>
      </c>
    </row>
    <row r="208" customFormat="false" ht="36" hidden="false" customHeight="true" outlineLevel="0" collapsed="false">
      <c r="A208" s="12" t="s">
        <v>251</v>
      </c>
      <c r="B208" s="12" t="s">
        <v>817</v>
      </c>
      <c r="C208" s="12" t="s">
        <v>820</v>
      </c>
      <c r="D208" s="12" t="s">
        <v>261</v>
      </c>
      <c r="E208" s="13" t="n">
        <v>4.9</v>
      </c>
      <c r="F208" s="13"/>
      <c r="G208" s="13"/>
      <c r="H208" s="13" t="n">
        <v>4</v>
      </c>
      <c r="I208" s="13"/>
      <c r="J208" s="13"/>
      <c r="K208" s="12" t="s">
        <v>818</v>
      </c>
      <c r="L208" s="12" t="s">
        <v>29</v>
      </c>
      <c r="M208" s="12" t="s">
        <v>262</v>
      </c>
      <c r="N208" s="12" t="s">
        <v>726</v>
      </c>
    </row>
    <row r="209" customFormat="false" ht="36" hidden="false" customHeight="true" outlineLevel="0" collapsed="false">
      <c r="A209" s="12" t="s">
        <v>251</v>
      </c>
      <c r="B209" s="12" t="s">
        <v>817</v>
      </c>
      <c r="C209" s="12" t="s">
        <v>821</v>
      </c>
      <c r="D209" s="12" t="s">
        <v>261</v>
      </c>
      <c r="E209" s="13" t="n">
        <v>57.5</v>
      </c>
      <c r="F209" s="13"/>
      <c r="G209" s="13"/>
      <c r="H209" s="13" t="n">
        <v>31.9</v>
      </c>
      <c r="I209" s="13"/>
      <c r="J209" s="13"/>
      <c r="K209" s="12" t="s">
        <v>818</v>
      </c>
      <c r="L209" s="12" t="s">
        <v>29</v>
      </c>
      <c r="M209" s="12" t="s">
        <v>262</v>
      </c>
      <c r="N209" s="12" t="s">
        <v>726</v>
      </c>
    </row>
    <row r="210" customFormat="false" ht="36" hidden="false" customHeight="true" outlineLevel="0" collapsed="false">
      <c r="A210" s="12" t="s">
        <v>251</v>
      </c>
      <c r="B210" s="12" t="s">
        <v>817</v>
      </c>
      <c r="C210" s="12" t="s">
        <v>822</v>
      </c>
      <c r="D210" s="12" t="s">
        <v>261</v>
      </c>
      <c r="E210" s="13" t="n">
        <v>89.9</v>
      </c>
      <c r="F210" s="13"/>
      <c r="G210" s="13"/>
      <c r="H210" s="13" t="n">
        <v>31.1</v>
      </c>
      <c r="I210" s="13"/>
      <c r="J210" s="13"/>
      <c r="K210" s="12" t="s">
        <v>818</v>
      </c>
      <c r="L210" s="12" t="s">
        <v>29</v>
      </c>
      <c r="M210" s="12" t="s">
        <v>262</v>
      </c>
      <c r="N210" s="12" t="s">
        <v>726</v>
      </c>
    </row>
    <row r="211" customFormat="false" ht="36" hidden="false" customHeight="true" outlineLevel="0" collapsed="false">
      <c r="A211" s="12" t="s">
        <v>251</v>
      </c>
      <c r="B211" s="12" t="s">
        <v>817</v>
      </c>
      <c r="C211" s="12" t="s">
        <v>823</v>
      </c>
      <c r="D211" s="12" t="s">
        <v>261</v>
      </c>
      <c r="E211" s="13" t="n">
        <v>193.6</v>
      </c>
      <c r="F211" s="13"/>
      <c r="G211" s="13"/>
      <c r="H211" s="13" t="n">
        <v>59.9</v>
      </c>
      <c r="I211" s="13"/>
      <c r="J211" s="13"/>
      <c r="K211" s="12" t="s">
        <v>818</v>
      </c>
      <c r="L211" s="12" t="s">
        <v>29</v>
      </c>
      <c r="M211" s="12" t="s">
        <v>262</v>
      </c>
      <c r="N211" s="12" t="s">
        <v>726</v>
      </c>
    </row>
    <row r="212" customFormat="false" ht="36" hidden="false" customHeight="true" outlineLevel="0" collapsed="false">
      <c r="A212" s="12" t="s">
        <v>265</v>
      </c>
      <c r="B212" s="12" t="s">
        <v>264</v>
      </c>
      <c r="C212" s="12" t="s">
        <v>201</v>
      </c>
      <c r="D212" s="12" t="s">
        <v>272</v>
      </c>
      <c r="E212" s="13" t="n">
        <v>5.9</v>
      </c>
      <c r="F212" s="13" t="n">
        <v>4.7</v>
      </c>
      <c r="G212" s="13" t="n">
        <v>3.5</v>
      </c>
      <c r="H212" s="13" t="n">
        <v>2.4</v>
      </c>
      <c r="I212" s="13" t="n">
        <v>4.7</v>
      </c>
      <c r="J212" s="13"/>
      <c r="K212" s="12" t="s">
        <v>824</v>
      </c>
      <c r="L212" s="12" t="s">
        <v>29</v>
      </c>
      <c r="M212" s="12" t="s">
        <v>269</v>
      </c>
      <c r="N212" s="12" t="s">
        <v>726</v>
      </c>
    </row>
    <row r="213" customFormat="false" ht="36" hidden="false" customHeight="true" outlineLevel="0" collapsed="false">
      <c r="A213" s="12" t="s">
        <v>265</v>
      </c>
      <c r="B213" s="12" t="s">
        <v>264</v>
      </c>
      <c r="C213" s="12" t="s">
        <v>595</v>
      </c>
      <c r="D213" s="12" t="s">
        <v>272</v>
      </c>
      <c r="E213" s="13" t="n">
        <v>4.3</v>
      </c>
      <c r="F213" s="13" t="n">
        <v>4.3</v>
      </c>
      <c r="G213" s="13" t="n">
        <v>3.5</v>
      </c>
      <c r="H213" s="13" t="n">
        <v>2.4</v>
      </c>
      <c r="I213" s="13" t="n">
        <v>4.3</v>
      </c>
      <c r="J213" s="13"/>
      <c r="K213" s="12" t="s">
        <v>824</v>
      </c>
      <c r="L213" s="12" t="s">
        <v>29</v>
      </c>
      <c r="M213" s="12" t="s">
        <v>269</v>
      </c>
      <c r="N213" s="12" t="s">
        <v>726</v>
      </c>
    </row>
    <row r="214" customFormat="false" ht="36" hidden="false" customHeight="true" outlineLevel="0" collapsed="false">
      <c r="A214" s="12" t="s">
        <v>265</v>
      </c>
      <c r="B214" s="12" t="s">
        <v>264</v>
      </c>
      <c r="C214" s="12" t="s">
        <v>599</v>
      </c>
      <c r="D214" s="12" t="s">
        <v>272</v>
      </c>
      <c r="E214" s="13" t="n">
        <v>79.7</v>
      </c>
      <c r="F214" s="13" t="n">
        <v>79.7</v>
      </c>
      <c r="G214" s="13" t="n">
        <v>47.3</v>
      </c>
      <c r="H214" s="13" t="n">
        <v>32.4</v>
      </c>
      <c r="I214" s="13" t="n">
        <v>63.5</v>
      </c>
      <c r="J214" s="13"/>
      <c r="K214" s="12" t="s">
        <v>824</v>
      </c>
      <c r="L214" s="12" t="s">
        <v>29</v>
      </c>
      <c r="M214" s="12" t="s">
        <v>269</v>
      </c>
      <c r="N214" s="12" t="s">
        <v>726</v>
      </c>
    </row>
    <row r="215" customFormat="false" ht="36" hidden="false" customHeight="true" outlineLevel="0" collapsed="false">
      <c r="A215" s="12" t="s">
        <v>265</v>
      </c>
      <c r="B215" s="12" t="s">
        <v>264</v>
      </c>
      <c r="C215" s="12" t="s">
        <v>825</v>
      </c>
      <c r="D215" s="12" t="s">
        <v>272</v>
      </c>
      <c r="E215" s="13" t="n">
        <v>74.9</v>
      </c>
      <c r="F215" s="13" t="n">
        <v>74.9</v>
      </c>
      <c r="G215" s="13" t="n">
        <v>44.5</v>
      </c>
      <c r="H215" s="13" t="n">
        <v>30.5</v>
      </c>
      <c r="I215" s="13" t="n">
        <v>59.7</v>
      </c>
      <c r="J215" s="13"/>
      <c r="K215" s="12" t="s">
        <v>824</v>
      </c>
      <c r="L215" s="12" t="s">
        <v>29</v>
      </c>
      <c r="M215" s="12" t="s">
        <v>269</v>
      </c>
      <c r="N215" s="12" t="s">
        <v>726</v>
      </c>
    </row>
    <row r="216" customFormat="false" ht="36" hidden="false" customHeight="true" outlineLevel="0" collapsed="false">
      <c r="A216" s="12" t="s">
        <v>274</v>
      </c>
      <c r="B216" s="12" t="s">
        <v>592</v>
      </c>
      <c r="C216" s="12" t="s">
        <v>201</v>
      </c>
      <c r="D216" s="12" t="s">
        <v>826</v>
      </c>
      <c r="E216" s="13" t="n">
        <v>5.7</v>
      </c>
      <c r="F216" s="13" t="n">
        <v>4</v>
      </c>
      <c r="G216" s="13" t="n">
        <v>4</v>
      </c>
      <c r="H216" s="13" t="n">
        <v>3.3</v>
      </c>
      <c r="I216" s="13"/>
      <c r="J216" s="13"/>
      <c r="K216" s="12" t="s">
        <v>827</v>
      </c>
      <c r="L216" s="12" t="s">
        <v>29</v>
      </c>
      <c r="M216" s="12" t="s">
        <v>279</v>
      </c>
      <c r="N216" s="12" t="s">
        <v>726</v>
      </c>
    </row>
    <row r="217" customFormat="false" ht="36" hidden="false" customHeight="true" outlineLevel="0" collapsed="false">
      <c r="A217" s="12" t="s">
        <v>274</v>
      </c>
      <c r="B217" s="12" t="s">
        <v>592</v>
      </c>
      <c r="C217" s="12" t="s">
        <v>768</v>
      </c>
      <c r="D217" s="12" t="s">
        <v>826</v>
      </c>
      <c r="E217" s="13" t="n">
        <v>4</v>
      </c>
      <c r="F217" s="13" t="n">
        <v>2.5</v>
      </c>
      <c r="G217" s="13" t="n">
        <v>2.5</v>
      </c>
      <c r="H217" s="13" t="n">
        <v>1.3</v>
      </c>
      <c r="I217" s="13"/>
      <c r="J217" s="13"/>
      <c r="K217" s="12" t="s">
        <v>827</v>
      </c>
      <c r="L217" s="12" t="s">
        <v>29</v>
      </c>
      <c r="M217" s="12" t="s">
        <v>279</v>
      </c>
      <c r="N217" s="12" t="s">
        <v>726</v>
      </c>
    </row>
    <row r="218" customFormat="false" ht="36" hidden="false" customHeight="true" outlineLevel="0" collapsed="false">
      <c r="A218" s="12" t="s">
        <v>274</v>
      </c>
      <c r="B218" s="12" t="s">
        <v>592</v>
      </c>
      <c r="C218" s="12" t="s">
        <v>828</v>
      </c>
      <c r="D218" s="12" t="s">
        <v>826</v>
      </c>
      <c r="E218" s="13" t="n">
        <v>1.8</v>
      </c>
      <c r="F218" s="13" t="n">
        <v>1.8</v>
      </c>
      <c r="G218" s="13" t="n">
        <v>1.8</v>
      </c>
      <c r="H218" s="13"/>
      <c r="I218" s="13"/>
      <c r="J218" s="13"/>
      <c r="K218" s="12" t="s">
        <v>827</v>
      </c>
      <c r="L218" s="12" t="s">
        <v>29</v>
      </c>
      <c r="M218" s="12" t="s">
        <v>279</v>
      </c>
      <c r="N218" s="12" t="s">
        <v>726</v>
      </c>
    </row>
    <row r="219" customFormat="false" ht="36" hidden="false" customHeight="true" outlineLevel="0" collapsed="false">
      <c r="A219" s="12" t="s">
        <v>274</v>
      </c>
      <c r="B219" s="12" t="s">
        <v>592</v>
      </c>
      <c r="C219" s="12" t="s">
        <v>829</v>
      </c>
      <c r="D219" s="12" t="s">
        <v>826</v>
      </c>
      <c r="E219" s="13" t="n">
        <v>54</v>
      </c>
      <c r="F219" s="13"/>
      <c r="G219" s="13"/>
      <c r="H219" s="13"/>
      <c r="I219" s="13"/>
      <c r="J219" s="13"/>
      <c r="K219" s="12" t="s">
        <v>827</v>
      </c>
      <c r="L219" s="12" t="s">
        <v>29</v>
      </c>
      <c r="M219" s="12" t="s">
        <v>279</v>
      </c>
      <c r="N219" s="12" t="s">
        <v>726</v>
      </c>
    </row>
    <row r="220" customFormat="false" ht="36" hidden="false" customHeight="true" outlineLevel="0" collapsed="false">
      <c r="A220" s="12" t="s">
        <v>274</v>
      </c>
      <c r="B220" s="12" t="s">
        <v>592</v>
      </c>
      <c r="C220" s="12" t="s">
        <v>830</v>
      </c>
      <c r="D220" s="12" t="s">
        <v>826</v>
      </c>
      <c r="E220" s="13" t="n">
        <v>110</v>
      </c>
      <c r="F220" s="13" t="n">
        <v>80</v>
      </c>
      <c r="G220" s="13" t="n">
        <v>80</v>
      </c>
      <c r="H220" s="13" t="n">
        <v>40</v>
      </c>
      <c r="I220" s="13"/>
      <c r="J220" s="13"/>
      <c r="K220" s="12" t="s">
        <v>827</v>
      </c>
      <c r="L220" s="12" t="s">
        <v>29</v>
      </c>
      <c r="M220" s="12" t="s">
        <v>279</v>
      </c>
      <c r="N220" s="12" t="s">
        <v>726</v>
      </c>
    </row>
    <row r="221" customFormat="false" ht="36" hidden="false" customHeight="true" outlineLevel="0" collapsed="false">
      <c r="A221" s="12" t="s">
        <v>281</v>
      </c>
      <c r="B221" s="12" t="s">
        <v>592</v>
      </c>
      <c r="C221" s="12" t="s">
        <v>201</v>
      </c>
      <c r="D221" s="12" t="s">
        <v>826</v>
      </c>
      <c r="E221" s="13" t="n">
        <v>7</v>
      </c>
      <c r="F221" s="13"/>
      <c r="G221" s="13"/>
      <c r="H221" s="13" t="n">
        <v>4.5</v>
      </c>
      <c r="I221" s="13"/>
      <c r="J221" s="13"/>
      <c r="K221" s="12" t="s">
        <v>831</v>
      </c>
      <c r="L221" s="12" t="s">
        <v>29</v>
      </c>
      <c r="M221" s="12" t="s">
        <v>286</v>
      </c>
      <c r="N221" s="12" t="s">
        <v>726</v>
      </c>
    </row>
    <row r="222" customFormat="false" ht="36" hidden="false" customHeight="true" outlineLevel="0" collapsed="false">
      <c r="A222" s="12" t="s">
        <v>281</v>
      </c>
      <c r="B222" s="12" t="s">
        <v>592</v>
      </c>
      <c r="C222" s="12" t="s">
        <v>832</v>
      </c>
      <c r="D222" s="12" t="s">
        <v>826</v>
      </c>
      <c r="E222" s="13" t="n">
        <v>5.5</v>
      </c>
      <c r="F222" s="13"/>
      <c r="G222" s="13"/>
      <c r="H222" s="13" t="n">
        <v>3</v>
      </c>
      <c r="I222" s="13"/>
      <c r="J222" s="13"/>
      <c r="K222" s="12" t="s">
        <v>831</v>
      </c>
      <c r="L222" s="12" t="s">
        <v>29</v>
      </c>
      <c r="M222" s="12" t="s">
        <v>286</v>
      </c>
      <c r="N222" s="12" t="s">
        <v>726</v>
      </c>
    </row>
    <row r="223" customFormat="false" ht="36" hidden="false" customHeight="true" outlineLevel="0" collapsed="false">
      <c r="A223" s="12" t="s">
        <v>281</v>
      </c>
      <c r="B223" s="12" t="s">
        <v>592</v>
      </c>
      <c r="C223" s="12" t="s">
        <v>833</v>
      </c>
      <c r="D223" s="12" t="s">
        <v>826</v>
      </c>
      <c r="E223" s="13" t="n">
        <v>4</v>
      </c>
      <c r="F223" s="13"/>
      <c r="G223" s="13"/>
      <c r="H223" s="13" t="n">
        <v>2</v>
      </c>
      <c r="I223" s="13"/>
      <c r="J223" s="13"/>
      <c r="K223" s="12" t="s">
        <v>831</v>
      </c>
      <c r="L223" s="12" t="s">
        <v>29</v>
      </c>
      <c r="M223" s="12" t="s">
        <v>286</v>
      </c>
      <c r="N223" s="12" t="s">
        <v>726</v>
      </c>
    </row>
    <row r="224" customFormat="false" ht="36" hidden="false" customHeight="true" outlineLevel="0" collapsed="false">
      <c r="A224" s="12" t="s">
        <v>281</v>
      </c>
      <c r="B224" s="12" t="s">
        <v>592</v>
      </c>
      <c r="C224" s="12" t="s">
        <v>834</v>
      </c>
      <c r="D224" s="12" t="s">
        <v>826</v>
      </c>
      <c r="E224" s="13" t="n">
        <v>60</v>
      </c>
      <c r="F224" s="13"/>
      <c r="G224" s="13"/>
      <c r="H224" s="13" t="n">
        <v>35</v>
      </c>
      <c r="I224" s="13"/>
      <c r="J224" s="13"/>
      <c r="K224" s="12" t="s">
        <v>831</v>
      </c>
      <c r="L224" s="12" t="s">
        <v>29</v>
      </c>
      <c r="M224" s="12" t="s">
        <v>286</v>
      </c>
      <c r="N224" s="12" t="s">
        <v>726</v>
      </c>
    </row>
    <row r="225" customFormat="false" ht="36" hidden="false" customHeight="true" outlineLevel="0" collapsed="false">
      <c r="A225" s="12" t="s">
        <v>281</v>
      </c>
      <c r="B225" s="12" t="s">
        <v>592</v>
      </c>
      <c r="C225" s="12" t="s">
        <v>599</v>
      </c>
      <c r="D225" s="12" t="s">
        <v>826</v>
      </c>
      <c r="E225" s="13" t="n">
        <v>90</v>
      </c>
      <c r="F225" s="13"/>
      <c r="G225" s="13"/>
      <c r="H225" s="13" t="n">
        <v>60</v>
      </c>
      <c r="I225" s="13"/>
      <c r="J225" s="13"/>
      <c r="K225" s="12" t="s">
        <v>831</v>
      </c>
      <c r="L225" s="12" t="s">
        <v>29</v>
      </c>
      <c r="M225" s="12" t="s">
        <v>286</v>
      </c>
      <c r="N225" s="12" t="s">
        <v>726</v>
      </c>
    </row>
    <row r="226" customFormat="false" ht="36" hidden="false" customHeight="true" outlineLevel="0" collapsed="false">
      <c r="A226" s="12" t="s">
        <v>288</v>
      </c>
      <c r="B226" s="12" t="s">
        <v>592</v>
      </c>
      <c r="C226" s="12" t="s">
        <v>201</v>
      </c>
      <c r="D226" s="12" t="s">
        <v>826</v>
      </c>
      <c r="E226" s="13" t="n">
        <v>5.5</v>
      </c>
      <c r="F226" s="13"/>
      <c r="G226" s="13" t="n">
        <v>4.5</v>
      </c>
      <c r="H226" s="13" t="n">
        <v>3.5</v>
      </c>
      <c r="I226" s="13"/>
      <c r="J226" s="13"/>
      <c r="K226" s="12" t="s">
        <v>835</v>
      </c>
      <c r="L226" s="12" t="s">
        <v>29</v>
      </c>
      <c r="M226" s="12" t="s">
        <v>292</v>
      </c>
      <c r="N226" s="12" t="s">
        <v>726</v>
      </c>
    </row>
    <row r="227" customFormat="false" ht="36" hidden="false" customHeight="true" outlineLevel="0" collapsed="false">
      <c r="A227" s="12" t="s">
        <v>288</v>
      </c>
      <c r="B227" s="12" t="s">
        <v>592</v>
      </c>
      <c r="C227" s="12" t="s">
        <v>836</v>
      </c>
      <c r="D227" s="12" t="s">
        <v>826</v>
      </c>
      <c r="E227" s="13" t="n">
        <v>3</v>
      </c>
      <c r="F227" s="13"/>
      <c r="G227" s="13" t="n">
        <v>2.5</v>
      </c>
      <c r="H227" s="13" t="n">
        <v>2</v>
      </c>
      <c r="I227" s="13"/>
      <c r="J227" s="13"/>
      <c r="K227" s="12" t="s">
        <v>835</v>
      </c>
      <c r="L227" s="12" t="s">
        <v>29</v>
      </c>
      <c r="M227" s="12" t="s">
        <v>292</v>
      </c>
      <c r="N227" s="12" t="s">
        <v>726</v>
      </c>
    </row>
    <row r="228" customFormat="false" ht="36" hidden="false" customHeight="true" outlineLevel="0" collapsed="false">
      <c r="A228" s="12" t="s">
        <v>288</v>
      </c>
      <c r="B228" s="12" t="s">
        <v>592</v>
      </c>
      <c r="C228" s="12" t="s">
        <v>834</v>
      </c>
      <c r="D228" s="12" t="s">
        <v>826</v>
      </c>
      <c r="E228" s="13" t="n">
        <v>49.5</v>
      </c>
      <c r="F228" s="13"/>
      <c r="G228" s="13" t="n">
        <v>40.5</v>
      </c>
      <c r="H228" s="13" t="n">
        <v>31.5</v>
      </c>
      <c r="I228" s="13"/>
      <c r="J228" s="13"/>
      <c r="K228" s="12" t="s">
        <v>835</v>
      </c>
      <c r="L228" s="12" t="s">
        <v>29</v>
      </c>
      <c r="M228" s="12" t="s">
        <v>292</v>
      </c>
      <c r="N228" s="12" t="s">
        <v>726</v>
      </c>
    </row>
    <row r="229" customFormat="false" ht="36" hidden="false" customHeight="true" outlineLevel="0" collapsed="false">
      <c r="A229" s="12" t="s">
        <v>288</v>
      </c>
      <c r="B229" s="12" t="s">
        <v>592</v>
      </c>
      <c r="C229" s="12" t="s">
        <v>599</v>
      </c>
      <c r="D229" s="12" t="s">
        <v>826</v>
      </c>
      <c r="E229" s="13" t="n">
        <v>70</v>
      </c>
      <c r="F229" s="13"/>
      <c r="G229" s="13" t="n">
        <v>45</v>
      </c>
      <c r="H229" s="13" t="n">
        <v>45</v>
      </c>
      <c r="I229" s="13"/>
      <c r="J229" s="13"/>
      <c r="K229" s="12" t="s">
        <v>835</v>
      </c>
      <c r="L229" s="12" t="s">
        <v>29</v>
      </c>
      <c r="M229" s="12" t="s">
        <v>292</v>
      </c>
      <c r="N229" s="12" t="s">
        <v>726</v>
      </c>
    </row>
    <row r="230" customFormat="false" ht="36" hidden="false" customHeight="true" outlineLevel="0" collapsed="false">
      <c r="A230" s="12" t="s">
        <v>294</v>
      </c>
      <c r="B230" s="12" t="s">
        <v>592</v>
      </c>
      <c r="C230" s="12" t="s">
        <v>201</v>
      </c>
      <c r="D230" s="12" t="s">
        <v>837</v>
      </c>
      <c r="E230" s="13" t="n">
        <v>6.5</v>
      </c>
      <c r="F230" s="13"/>
      <c r="G230" s="13" t="n">
        <v>4</v>
      </c>
      <c r="H230" s="13" t="n">
        <v>3</v>
      </c>
      <c r="I230" s="13"/>
      <c r="J230" s="13"/>
      <c r="K230" s="12" t="s">
        <v>838</v>
      </c>
      <c r="L230" s="12" t="s">
        <v>29</v>
      </c>
      <c r="M230" s="12" t="s">
        <v>299</v>
      </c>
      <c r="N230" s="12" t="s">
        <v>726</v>
      </c>
    </row>
    <row r="231" customFormat="false" ht="36" hidden="false" customHeight="true" outlineLevel="0" collapsed="false">
      <c r="A231" s="12" t="s">
        <v>294</v>
      </c>
      <c r="B231" s="12" t="s">
        <v>592</v>
      </c>
      <c r="C231" s="12" t="s">
        <v>595</v>
      </c>
      <c r="D231" s="12" t="s">
        <v>837</v>
      </c>
      <c r="E231" s="13" t="n">
        <v>4.5</v>
      </c>
      <c r="F231" s="13"/>
      <c r="G231" s="13" t="n">
        <v>3</v>
      </c>
      <c r="H231" s="13" t="n">
        <v>2.5</v>
      </c>
      <c r="I231" s="13"/>
      <c r="J231" s="13"/>
      <c r="K231" s="12" t="s">
        <v>838</v>
      </c>
      <c r="L231" s="12" t="s">
        <v>29</v>
      </c>
      <c r="M231" s="12" t="s">
        <v>299</v>
      </c>
      <c r="N231" s="12" t="s">
        <v>726</v>
      </c>
    </row>
    <row r="232" customFormat="false" ht="36" hidden="false" customHeight="true" outlineLevel="0" collapsed="false">
      <c r="A232" s="12" t="s">
        <v>294</v>
      </c>
      <c r="B232" s="12" t="s">
        <v>592</v>
      </c>
      <c r="C232" s="12" t="s">
        <v>839</v>
      </c>
      <c r="D232" s="12" t="s">
        <v>837</v>
      </c>
      <c r="E232" s="13" t="n">
        <v>3.5</v>
      </c>
      <c r="F232" s="13"/>
      <c r="G232" s="13" t="n">
        <v>3.5</v>
      </c>
      <c r="H232" s="13" t="n">
        <v>3.5</v>
      </c>
      <c r="I232" s="13"/>
      <c r="J232" s="13"/>
      <c r="K232" s="12" t="s">
        <v>838</v>
      </c>
      <c r="L232" s="12" t="s">
        <v>29</v>
      </c>
      <c r="M232" s="12" t="s">
        <v>299</v>
      </c>
      <c r="N232" s="12" t="s">
        <v>726</v>
      </c>
    </row>
    <row r="233" customFormat="false" ht="36" hidden="false" customHeight="true" outlineLevel="0" collapsed="false">
      <c r="A233" s="12" t="s">
        <v>294</v>
      </c>
      <c r="B233" s="12" t="s">
        <v>592</v>
      </c>
      <c r="C233" s="12" t="s">
        <v>599</v>
      </c>
      <c r="D233" s="12" t="s">
        <v>837</v>
      </c>
      <c r="E233" s="13" t="n">
        <v>85</v>
      </c>
      <c r="F233" s="13"/>
      <c r="G233" s="13" t="n">
        <v>50</v>
      </c>
      <c r="H233" s="13" t="n">
        <v>30</v>
      </c>
      <c r="I233" s="13"/>
      <c r="J233" s="13"/>
      <c r="K233" s="12" t="s">
        <v>838</v>
      </c>
      <c r="L233" s="12" t="s">
        <v>29</v>
      </c>
      <c r="M233" s="12" t="s">
        <v>299</v>
      </c>
      <c r="N233" s="12" t="s">
        <v>726</v>
      </c>
    </row>
    <row r="234" customFormat="false" ht="36" hidden="false" customHeight="true" outlineLevel="0" collapsed="false">
      <c r="A234" s="12" t="s">
        <v>342</v>
      </c>
      <c r="B234" s="12" t="s">
        <v>592</v>
      </c>
      <c r="C234" s="12" t="s">
        <v>201</v>
      </c>
      <c r="D234" s="12" t="s">
        <v>826</v>
      </c>
      <c r="E234" s="13" t="n">
        <v>6.5</v>
      </c>
      <c r="F234" s="13"/>
      <c r="G234" s="13" t="n">
        <v>4</v>
      </c>
      <c r="H234" s="13" t="n">
        <v>3</v>
      </c>
      <c r="I234" s="13"/>
      <c r="J234" s="13"/>
      <c r="K234" s="12" t="s">
        <v>840</v>
      </c>
      <c r="L234" s="12" t="s">
        <v>29</v>
      </c>
      <c r="M234" s="12" t="s">
        <v>345</v>
      </c>
      <c r="N234" s="12" t="s">
        <v>726</v>
      </c>
    </row>
    <row r="235" customFormat="false" ht="36" hidden="false" customHeight="true" outlineLevel="0" collapsed="false">
      <c r="A235" s="12" t="s">
        <v>342</v>
      </c>
      <c r="B235" s="12" t="s">
        <v>592</v>
      </c>
      <c r="C235" s="12" t="s">
        <v>841</v>
      </c>
      <c r="D235" s="12" t="s">
        <v>826</v>
      </c>
      <c r="E235" s="13" t="n">
        <v>3.5</v>
      </c>
      <c r="F235" s="13"/>
      <c r="G235" s="13" t="n">
        <v>2</v>
      </c>
      <c r="H235" s="13" t="n">
        <v>1.5</v>
      </c>
      <c r="I235" s="13"/>
      <c r="J235" s="13"/>
      <c r="K235" s="12" t="s">
        <v>840</v>
      </c>
      <c r="L235" s="12" t="s">
        <v>29</v>
      </c>
      <c r="M235" s="12" t="s">
        <v>345</v>
      </c>
      <c r="N235" s="12" t="s">
        <v>726</v>
      </c>
    </row>
    <row r="236" customFormat="false" ht="36" hidden="false" customHeight="true" outlineLevel="0" collapsed="false">
      <c r="A236" s="12" t="s">
        <v>842</v>
      </c>
      <c r="B236" s="12" t="s">
        <v>264</v>
      </c>
      <c r="C236" s="12" t="s">
        <v>201</v>
      </c>
      <c r="D236" s="12" t="s">
        <v>843</v>
      </c>
      <c r="E236" s="13" t="n">
        <v>5.5</v>
      </c>
      <c r="F236" s="13" t="n">
        <v>4</v>
      </c>
      <c r="G236" s="13" t="n">
        <v>4</v>
      </c>
      <c r="H236" s="13" t="n">
        <v>2.5</v>
      </c>
      <c r="I236" s="13"/>
      <c r="J236" s="13"/>
      <c r="K236" s="12" t="s">
        <v>844</v>
      </c>
      <c r="L236" s="12" t="s">
        <v>29</v>
      </c>
      <c r="M236" s="12" t="s">
        <v>380</v>
      </c>
      <c r="N236" s="12" t="s">
        <v>726</v>
      </c>
    </row>
    <row r="237" customFormat="false" ht="36" hidden="false" customHeight="true" outlineLevel="0" collapsed="false">
      <c r="A237" s="12" t="s">
        <v>842</v>
      </c>
      <c r="B237" s="12" t="s">
        <v>264</v>
      </c>
      <c r="C237" s="12" t="s">
        <v>845</v>
      </c>
      <c r="D237" s="12" t="s">
        <v>843</v>
      </c>
      <c r="E237" s="13" t="n">
        <v>3</v>
      </c>
      <c r="F237" s="13" t="n">
        <v>2.5</v>
      </c>
      <c r="G237" s="13" t="n">
        <v>2.5</v>
      </c>
      <c r="H237" s="13"/>
      <c r="I237" s="13"/>
      <c r="J237" s="13"/>
      <c r="K237" s="12" t="s">
        <v>844</v>
      </c>
      <c r="L237" s="12" t="s">
        <v>29</v>
      </c>
      <c r="M237" s="12" t="s">
        <v>380</v>
      </c>
      <c r="N237" s="12" t="s">
        <v>726</v>
      </c>
    </row>
    <row r="238" customFormat="false" ht="36" hidden="false" customHeight="true" outlineLevel="0" collapsed="false">
      <c r="A238" s="12" t="s">
        <v>842</v>
      </c>
      <c r="B238" s="12" t="s">
        <v>264</v>
      </c>
      <c r="C238" s="12" t="s">
        <v>599</v>
      </c>
      <c r="D238" s="12" t="s">
        <v>843</v>
      </c>
      <c r="E238" s="13" t="n">
        <v>65</v>
      </c>
      <c r="F238" s="13" t="n">
        <v>45</v>
      </c>
      <c r="G238" s="13" t="n">
        <v>45</v>
      </c>
      <c r="H238" s="13" t="n">
        <v>30</v>
      </c>
      <c r="I238" s="13"/>
      <c r="J238" s="13"/>
      <c r="K238" s="12" t="s">
        <v>844</v>
      </c>
      <c r="L238" s="12" t="s">
        <v>29</v>
      </c>
      <c r="M238" s="12" t="s">
        <v>380</v>
      </c>
      <c r="N238" s="12" t="s">
        <v>726</v>
      </c>
    </row>
    <row r="239" customFormat="false" ht="36" hidden="false" customHeight="true" outlineLevel="0" collapsed="false">
      <c r="A239" s="12" t="s">
        <v>333</v>
      </c>
      <c r="B239" s="12" t="s">
        <v>264</v>
      </c>
      <c r="C239" s="12" t="s">
        <v>306</v>
      </c>
      <c r="D239" s="12" t="s">
        <v>272</v>
      </c>
      <c r="E239" s="13" t="n">
        <v>10</v>
      </c>
      <c r="F239" s="13"/>
      <c r="G239" s="13"/>
      <c r="H239" s="13" t="n">
        <v>5</v>
      </c>
      <c r="I239" s="13"/>
      <c r="J239" s="13"/>
      <c r="K239" s="12" t="s">
        <v>846</v>
      </c>
      <c r="L239" s="12" t="s">
        <v>29</v>
      </c>
      <c r="M239" s="12" t="s">
        <v>340</v>
      </c>
      <c r="N239" s="12" t="s">
        <v>726</v>
      </c>
    </row>
    <row r="240" customFormat="false" ht="36" hidden="false" customHeight="true" outlineLevel="0" collapsed="false">
      <c r="A240" s="12" t="s">
        <v>333</v>
      </c>
      <c r="B240" s="12" t="s">
        <v>264</v>
      </c>
      <c r="C240" s="12" t="s">
        <v>847</v>
      </c>
      <c r="D240" s="12" t="s">
        <v>272</v>
      </c>
      <c r="E240" s="13" t="n">
        <v>5</v>
      </c>
      <c r="F240" s="13"/>
      <c r="G240" s="13"/>
      <c r="H240" s="13" t="n">
        <v>2.5</v>
      </c>
      <c r="I240" s="13"/>
      <c r="J240" s="13"/>
      <c r="K240" s="12" t="s">
        <v>846</v>
      </c>
      <c r="L240" s="12" t="s">
        <v>29</v>
      </c>
      <c r="M240" s="12" t="s">
        <v>340</v>
      </c>
      <c r="N240" s="12" t="s">
        <v>726</v>
      </c>
    </row>
    <row r="241" customFormat="false" ht="36" hidden="false" customHeight="true" outlineLevel="0" collapsed="false">
      <c r="A241" s="12" t="s">
        <v>333</v>
      </c>
      <c r="B241" s="12" t="s">
        <v>264</v>
      </c>
      <c r="C241" s="12" t="s">
        <v>848</v>
      </c>
      <c r="D241" s="12" t="s">
        <v>272</v>
      </c>
      <c r="E241" s="13" t="n">
        <v>2.5</v>
      </c>
      <c r="F241" s="13"/>
      <c r="G241" s="13"/>
      <c r="H241" s="13" t="n">
        <v>1.5</v>
      </c>
      <c r="I241" s="13"/>
      <c r="J241" s="13"/>
      <c r="K241" s="12" t="s">
        <v>846</v>
      </c>
      <c r="L241" s="12" t="s">
        <v>29</v>
      </c>
      <c r="M241" s="12" t="s">
        <v>340</v>
      </c>
      <c r="N241" s="12" t="s">
        <v>726</v>
      </c>
    </row>
    <row r="242" customFormat="false" ht="36" hidden="false" customHeight="true" outlineLevel="0" collapsed="false">
      <c r="A242" s="12" t="s">
        <v>333</v>
      </c>
      <c r="B242" s="12" t="s">
        <v>264</v>
      </c>
      <c r="C242" s="12" t="s">
        <v>849</v>
      </c>
      <c r="D242" s="12" t="s">
        <v>272</v>
      </c>
      <c r="E242" s="13" t="n">
        <v>100</v>
      </c>
      <c r="F242" s="13"/>
      <c r="G242" s="13"/>
      <c r="H242" s="13" t="n">
        <v>50</v>
      </c>
      <c r="I242" s="13"/>
      <c r="J242" s="13"/>
      <c r="K242" s="12" t="s">
        <v>846</v>
      </c>
      <c r="L242" s="12" t="s">
        <v>29</v>
      </c>
      <c r="M242" s="12" t="s">
        <v>340</v>
      </c>
      <c r="N242" s="12" t="s">
        <v>726</v>
      </c>
    </row>
    <row r="243" customFormat="false" ht="36" hidden="false" customHeight="true" outlineLevel="0" collapsed="false">
      <c r="A243" s="12" t="s">
        <v>333</v>
      </c>
      <c r="B243" s="12" t="s">
        <v>264</v>
      </c>
      <c r="C243" s="12" t="s">
        <v>634</v>
      </c>
      <c r="D243" s="12" t="s">
        <v>272</v>
      </c>
      <c r="E243" s="13"/>
      <c r="F243" s="13"/>
      <c r="G243" s="13"/>
      <c r="H243" s="13"/>
      <c r="I243" s="13"/>
      <c r="J243" s="13" t="n">
        <v>85</v>
      </c>
      <c r="K243" s="12" t="s">
        <v>846</v>
      </c>
      <c r="L243" s="12" t="s">
        <v>29</v>
      </c>
      <c r="M243" s="12" t="s">
        <v>340</v>
      </c>
      <c r="N243" s="12" t="s">
        <v>726</v>
      </c>
    </row>
    <row r="244" customFormat="false" ht="36" hidden="false" customHeight="true" outlineLevel="0" collapsed="false">
      <c r="A244" s="12" t="s">
        <v>333</v>
      </c>
      <c r="B244" s="12" t="s">
        <v>264</v>
      </c>
      <c r="C244" s="12" t="s">
        <v>599</v>
      </c>
      <c r="D244" s="12" t="s">
        <v>272</v>
      </c>
      <c r="E244" s="13" t="n">
        <v>200</v>
      </c>
      <c r="F244" s="13"/>
      <c r="G244" s="13"/>
      <c r="H244" s="13" t="n">
        <v>100</v>
      </c>
      <c r="I244" s="13"/>
      <c r="J244" s="13"/>
      <c r="K244" s="12" t="s">
        <v>846</v>
      </c>
      <c r="L244" s="12" t="s">
        <v>29</v>
      </c>
      <c r="M244" s="12" t="s">
        <v>340</v>
      </c>
      <c r="N244" s="12" t="s">
        <v>726</v>
      </c>
    </row>
    <row r="245" customFormat="false" ht="36" hidden="false" customHeight="true" outlineLevel="0" collapsed="false">
      <c r="A245" s="12" t="s">
        <v>352</v>
      </c>
      <c r="B245" s="12" t="s">
        <v>351</v>
      </c>
      <c r="C245" s="12" t="s">
        <v>850</v>
      </c>
      <c r="D245" s="12" t="s">
        <v>851</v>
      </c>
      <c r="E245" s="13" t="n">
        <v>8.4</v>
      </c>
      <c r="F245" s="13"/>
      <c r="G245" s="13"/>
      <c r="H245" s="13" t="n">
        <v>5.2</v>
      </c>
      <c r="I245" s="13"/>
      <c r="J245" s="13"/>
      <c r="K245" s="12" t="s">
        <v>852</v>
      </c>
      <c r="L245" s="12" t="s">
        <v>29</v>
      </c>
      <c r="M245" s="12" t="s">
        <v>357</v>
      </c>
      <c r="N245" s="12" t="s">
        <v>726</v>
      </c>
    </row>
    <row r="246" customFormat="false" ht="36" hidden="false" customHeight="true" outlineLevel="0" collapsed="false">
      <c r="A246" s="12" t="s">
        <v>352</v>
      </c>
      <c r="B246" s="12" t="s">
        <v>351</v>
      </c>
      <c r="C246" s="12" t="s">
        <v>853</v>
      </c>
      <c r="D246" s="12" t="s">
        <v>851</v>
      </c>
      <c r="E246" s="13" t="n">
        <v>5</v>
      </c>
      <c r="F246" s="13"/>
      <c r="G246" s="13"/>
      <c r="H246" s="13" t="n">
        <v>3.5</v>
      </c>
      <c r="I246" s="13"/>
      <c r="J246" s="13"/>
      <c r="K246" s="12" t="s">
        <v>852</v>
      </c>
      <c r="L246" s="12" t="s">
        <v>29</v>
      </c>
      <c r="M246" s="12" t="s">
        <v>357</v>
      </c>
      <c r="N246" s="12" t="s">
        <v>726</v>
      </c>
    </row>
    <row r="247" customFormat="false" ht="36" hidden="false" customHeight="true" outlineLevel="0" collapsed="false">
      <c r="A247" s="12" t="s">
        <v>352</v>
      </c>
      <c r="B247" s="12" t="s">
        <v>351</v>
      </c>
      <c r="C247" s="12" t="s">
        <v>834</v>
      </c>
      <c r="D247" s="12" t="s">
        <v>851</v>
      </c>
      <c r="E247" s="13" t="n">
        <v>75</v>
      </c>
      <c r="F247" s="13"/>
      <c r="G247" s="13"/>
      <c r="H247" s="13" t="n">
        <v>47</v>
      </c>
      <c r="I247" s="13"/>
      <c r="J247" s="13"/>
      <c r="K247" s="12" t="s">
        <v>852</v>
      </c>
      <c r="L247" s="12" t="s">
        <v>29</v>
      </c>
      <c r="M247" s="12" t="s">
        <v>357</v>
      </c>
      <c r="N247" s="12" t="s">
        <v>726</v>
      </c>
    </row>
    <row r="248" customFormat="false" ht="36" hidden="false" customHeight="true" outlineLevel="0" collapsed="false">
      <c r="A248" s="12" t="s">
        <v>352</v>
      </c>
      <c r="B248" s="12" t="s">
        <v>351</v>
      </c>
      <c r="C248" s="12" t="s">
        <v>599</v>
      </c>
      <c r="D248" s="12" t="s">
        <v>851</v>
      </c>
      <c r="E248" s="13" t="n">
        <v>94</v>
      </c>
      <c r="F248" s="13"/>
      <c r="G248" s="13"/>
      <c r="H248" s="13" t="n">
        <v>62</v>
      </c>
      <c r="I248" s="13"/>
      <c r="J248" s="13"/>
      <c r="K248" s="12" t="s">
        <v>852</v>
      </c>
      <c r="L248" s="12" t="s">
        <v>29</v>
      </c>
      <c r="M248" s="12" t="s">
        <v>357</v>
      </c>
      <c r="N248" s="12" t="s">
        <v>726</v>
      </c>
    </row>
    <row r="249" customFormat="false" ht="36" hidden="false" customHeight="true" outlineLevel="0" collapsed="false">
      <c r="A249" s="12" t="s">
        <v>352</v>
      </c>
      <c r="B249" s="12" t="s">
        <v>351</v>
      </c>
      <c r="C249" s="12" t="s">
        <v>854</v>
      </c>
      <c r="D249" s="12" t="s">
        <v>851</v>
      </c>
      <c r="E249" s="13"/>
      <c r="F249" s="13"/>
      <c r="G249" s="13"/>
      <c r="H249" s="13"/>
      <c r="I249" s="13"/>
      <c r="J249" s="13" t="n">
        <v>23</v>
      </c>
      <c r="K249" s="12" t="s">
        <v>852</v>
      </c>
      <c r="L249" s="12" t="s">
        <v>29</v>
      </c>
      <c r="M249" s="12" t="s">
        <v>357</v>
      </c>
      <c r="N249" s="12" t="s">
        <v>726</v>
      </c>
    </row>
    <row r="250" customFormat="false" ht="36" hidden="false" customHeight="true" outlineLevel="0" collapsed="false">
      <c r="A250" s="12" t="s">
        <v>360</v>
      </c>
      <c r="B250" s="12" t="s">
        <v>359</v>
      </c>
      <c r="C250" s="12" t="s">
        <v>855</v>
      </c>
      <c r="D250" s="12" t="s">
        <v>77</v>
      </c>
      <c r="E250" s="13" t="n">
        <v>9.6</v>
      </c>
      <c r="F250" s="13"/>
      <c r="G250" s="13"/>
      <c r="H250" s="13" t="n">
        <v>5</v>
      </c>
      <c r="I250" s="13"/>
      <c r="J250" s="13"/>
      <c r="K250" s="12" t="s">
        <v>856</v>
      </c>
      <c r="L250" s="12" t="s">
        <v>29</v>
      </c>
      <c r="M250" s="12" t="s">
        <v>368</v>
      </c>
      <c r="N250" s="12" t="s">
        <v>726</v>
      </c>
    </row>
    <row r="251" customFormat="false" ht="36" hidden="false" customHeight="true" outlineLevel="0" collapsed="false">
      <c r="A251" s="12" t="s">
        <v>360</v>
      </c>
      <c r="B251" s="12" t="s">
        <v>359</v>
      </c>
      <c r="C251" s="12" t="s">
        <v>857</v>
      </c>
      <c r="D251" s="12" t="s">
        <v>77</v>
      </c>
      <c r="E251" s="13" t="n">
        <v>19.2</v>
      </c>
      <c r="F251" s="13"/>
      <c r="G251" s="13"/>
      <c r="H251" s="13" t="n">
        <v>10</v>
      </c>
      <c r="I251" s="13"/>
      <c r="J251" s="13"/>
      <c r="K251" s="12" t="s">
        <v>856</v>
      </c>
      <c r="L251" s="12" t="s">
        <v>29</v>
      </c>
      <c r="M251" s="12" t="s">
        <v>368</v>
      </c>
      <c r="N251" s="12" t="s">
        <v>726</v>
      </c>
    </row>
    <row r="252" customFormat="false" ht="36" hidden="false" customHeight="true" outlineLevel="0" collapsed="false">
      <c r="A252" s="12" t="s">
        <v>360</v>
      </c>
      <c r="B252" s="12" t="s">
        <v>359</v>
      </c>
      <c r="C252" s="12" t="s">
        <v>858</v>
      </c>
      <c r="D252" s="12" t="s">
        <v>77</v>
      </c>
      <c r="E252" s="13" t="n">
        <v>24</v>
      </c>
      <c r="F252" s="13"/>
      <c r="G252" s="13"/>
      <c r="H252" s="13" t="n">
        <v>12.5</v>
      </c>
      <c r="I252" s="13"/>
      <c r="J252" s="13"/>
      <c r="K252" s="12" t="s">
        <v>856</v>
      </c>
      <c r="L252" s="12" t="s">
        <v>29</v>
      </c>
      <c r="M252" s="12" t="s">
        <v>368</v>
      </c>
      <c r="N252" s="12" t="s">
        <v>726</v>
      </c>
    </row>
    <row r="253" customFormat="false" ht="36" hidden="false" customHeight="true" outlineLevel="0" collapsed="false">
      <c r="A253" s="12" t="s">
        <v>360</v>
      </c>
      <c r="B253" s="12" t="s">
        <v>359</v>
      </c>
      <c r="C253" s="12" t="s">
        <v>859</v>
      </c>
      <c r="D253" s="12" t="s">
        <v>77</v>
      </c>
      <c r="E253" s="13" t="n">
        <v>4.8</v>
      </c>
      <c r="F253" s="13"/>
      <c r="G253" s="13"/>
      <c r="H253" s="13" t="n">
        <v>2.5</v>
      </c>
      <c r="I253" s="13"/>
      <c r="J253" s="13"/>
      <c r="K253" s="12" t="s">
        <v>856</v>
      </c>
      <c r="L253" s="12" t="s">
        <v>29</v>
      </c>
      <c r="M253" s="12" t="s">
        <v>368</v>
      </c>
      <c r="N253" s="12" t="s">
        <v>726</v>
      </c>
    </row>
    <row r="254" customFormat="false" ht="36" hidden="false" customHeight="true" outlineLevel="0" collapsed="false">
      <c r="A254" s="12" t="s">
        <v>389</v>
      </c>
      <c r="B254" s="12" t="s">
        <v>860</v>
      </c>
      <c r="C254" s="12" t="s">
        <v>861</v>
      </c>
      <c r="D254" s="12" t="s">
        <v>862</v>
      </c>
      <c r="E254" s="13" t="n">
        <v>14</v>
      </c>
      <c r="F254" s="13"/>
      <c r="G254" s="13" t="n">
        <v>11</v>
      </c>
      <c r="H254" s="13" t="n">
        <v>9</v>
      </c>
      <c r="I254" s="13"/>
      <c r="J254" s="13"/>
      <c r="K254" s="12" t="s">
        <v>863</v>
      </c>
      <c r="L254" s="12" t="s">
        <v>29</v>
      </c>
      <c r="M254" s="12" t="s">
        <v>399</v>
      </c>
      <c r="N254" s="12" t="s">
        <v>726</v>
      </c>
    </row>
    <row r="255" customFormat="false" ht="36" hidden="false" customHeight="true" outlineLevel="0" collapsed="false">
      <c r="A255" s="12" t="s">
        <v>389</v>
      </c>
      <c r="B255" s="12" t="s">
        <v>860</v>
      </c>
      <c r="C255" s="12" t="s">
        <v>864</v>
      </c>
      <c r="D255" s="12" t="s">
        <v>862</v>
      </c>
      <c r="E255" s="13" t="n">
        <v>11</v>
      </c>
      <c r="F255" s="13"/>
      <c r="G255" s="13"/>
      <c r="H255" s="13"/>
      <c r="I255" s="13"/>
      <c r="J255" s="13" t="n">
        <v>11</v>
      </c>
      <c r="K255" s="12" t="s">
        <v>863</v>
      </c>
      <c r="L255" s="12" t="s">
        <v>29</v>
      </c>
      <c r="M255" s="12" t="s">
        <v>399</v>
      </c>
      <c r="N255" s="12" t="s">
        <v>726</v>
      </c>
    </row>
    <row r="256" customFormat="false" ht="36" hidden="false" customHeight="true" outlineLevel="0" collapsed="false">
      <c r="A256" s="12" t="s">
        <v>389</v>
      </c>
      <c r="B256" s="12" t="s">
        <v>860</v>
      </c>
      <c r="C256" s="12" t="s">
        <v>865</v>
      </c>
      <c r="D256" s="12" t="s">
        <v>862</v>
      </c>
      <c r="E256" s="13" t="n">
        <v>5</v>
      </c>
      <c r="F256" s="13"/>
      <c r="G256" s="13"/>
      <c r="H256" s="13"/>
      <c r="I256" s="13"/>
      <c r="J256" s="13" t="n">
        <v>5</v>
      </c>
      <c r="K256" s="12" t="s">
        <v>863</v>
      </c>
      <c r="L256" s="12" t="s">
        <v>29</v>
      </c>
      <c r="M256" s="12" t="s">
        <v>399</v>
      </c>
      <c r="N256" s="12" t="s">
        <v>726</v>
      </c>
    </row>
    <row r="257" customFormat="false" ht="36" hidden="false" customHeight="true" outlineLevel="0" collapsed="false">
      <c r="A257" s="12" t="s">
        <v>401</v>
      </c>
      <c r="B257" s="12" t="s">
        <v>618</v>
      </c>
      <c r="C257" s="12" t="s">
        <v>628</v>
      </c>
      <c r="D257" s="12" t="s">
        <v>866</v>
      </c>
      <c r="E257" s="13" t="n">
        <v>10</v>
      </c>
      <c r="F257" s="13"/>
      <c r="G257" s="13"/>
      <c r="H257" s="13"/>
      <c r="I257" s="13"/>
      <c r="J257" s="13"/>
      <c r="K257" s="12" t="s">
        <v>867</v>
      </c>
      <c r="L257" s="12" t="s">
        <v>29</v>
      </c>
      <c r="M257" s="12" t="s">
        <v>404</v>
      </c>
      <c r="N257" s="12" t="s">
        <v>726</v>
      </c>
    </row>
    <row r="258" customFormat="false" ht="36" hidden="false" customHeight="true" outlineLevel="0" collapsed="false">
      <c r="A258" s="12" t="s">
        <v>401</v>
      </c>
      <c r="B258" s="12" t="s">
        <v>618</v>
      </c>
      <c r="C258" s="12" t="s">
        <v>868</v>
      </c>
      <c r="D258" s="12" t="s">
        <v>866</v>
      </c>
      <c r="E258" s="13"/>
      <c r="F258" s="13"/>
      <c r="G258" s="13"/>
      <c r="H258" s="13" t="n">
        <v>6</v>
      </c>
      <c r="I258" s="13"/>
      <c r="J258" s="13"/>
      <c r="K258" s="12" t="s">
        <v>867</v>
      </c>
      <c r="L258" s="12" t="s">
        <v>29</v>
      </c>
      <c r="M258" s="12" t="s">
        <v>404</v>
      </c>
      <c r="N258" s="12" t="s">
        <v>726</v>
      </c>
    </row>
    <row r="259" customFormat="false" ht="36" hidden="false" customHeight="true" outlineLevel="0" collapsed="false">
      <c r="A259" s="12" t="s">
        <v>401</v>
      </c>
      <c r="B259" s="12" t="s">
        <v>618</v>
      </c>
      <c r="C259" s="12" t="s">
        <v>634</v>
      </c>
      <c r="D259" s="12" t="s">
        <v>866</v>
      </c>
      <c r="E259" s="13"/>
      <c r="F259" s="13"/>
      <c r="G259" s="13"/>
      <c r="H259" s="13"/>
      <c r="I259" s="13"/>
      <c r="J259" s="13" t="n">
        <v>25</v>
      </c>
      <c r="K259" s="12" t="s">
        <v>867</v>
      </c>
      <c r="L259" s="12" t="s">
        <v>29</v>
      </c>
      <c r="M259" s="12" t="s">
        <v>404</v>
      </c>
      <c r="N259" s="12" t="s">
        <v>726</v>
      </c>
    </row>
    <row r="260" customFormat="false" ht="36" hidden="false" customHeight="true" outlineLevel="0" collapsed="false">
      <c r="A260" s="12" t="s">
        <v>401</v>
      </c>
      <c r="B260" s="12" t="s">
        <v>618</v>
      </c>
      <c r="C260" s="12" t="s">
        <v>869</v>
      </c>
      <c r="D260" s="12" t="s">
        <v>866</v>
      </c>
      <c r="E260" s="13" t="n">
        <v>8</v>
      </c>
      <c r="F260" s="13"/>
      <c r="G260" s="13"/>
      <c r="H260" s="13"/>
      <c r="I260" s="13"/>
      <c r="J260" s="13"/>
      <c r="K260" s="12" t="s">
        <v>867</v>
      </c>
      <c r="L260" s="12" t="s">
        <v>29</v>
      </c>
      <c r="M260" s="12" t="s">
        <v>404</v>
      </c>
      <c r="N260" s="12" t="s">
        <v>726</v>
      </c>
    </row>
    <row r="261" customFormat="false" ht="36" hidden="false" customHeight="true" outlineLevel="0" collapsed="false">
      <c r="A261" s="12" t="s">
        <v>870</v>
      </c>
      <c r="B261" s="12" t="s">
        <v>871</v>
      </c>
      <c r="C261" s="12" t="s">
        <v>619</v>
      </c>
      <c r="D261" s="12" t="s">
        <v>872</v>
      </c>
      <c r="E261" s="13" t="n">
        <v>9</v>
      </c>
      <c r="F261" s="13"/>
      <c r="G261" s="13" t="n">
        <v>7</v>
      </c>
      <c r="H261" s="13"/>
      <c r="I261" s="13"/>
      <c r="J261" s="13"/>
      <c r="K261" s="12" t="s">
        <v>873</v>
      </c>
      <c r="L261" s="12" t="s">
        <v>29</v>
      </c>
      <c r="M261" s="12" t="s">
        <v>411</v>
      </c>
      <c r="N261" s="12" t="s">
        <v>726</v>
      </c>
    </row>
    <row r="262" customFormat="false" ht="36" hidden="false" customHeight="true" outlineLevel="0" collapsed="false">
      <c r="A262" s="12" t="s">
        <v>870</v>
      </c>
      <c r="B262" s="12" t="s">
        <v>871</v>
      </c>
      <c r="C262" s="12" t="s">
        <v>623</v>
      </c>
      <c r="D262" s="12" t="s">
        <v>872</v>
      </c>
      <c r="E262" s="13" t="n">
        <v>14</v>
      </c>
      <c r="F262" s="13"/>
      <c r="G262" s="13" t="n">
        <v>11</v>
      </c>
      <c r="H262" s="13"/>
      <c r="I262" s="13"/>
      <c r="J262" s="13"/>
      <c r="K262" s="12" t="s">
        <v>873</v>
      </c>
      <c r="L262" s="12" t="s">
        <v>29</v>
      </c>
      <c r="M262" s="12" t="s">
        <v>411</v>
      </c>
      <c r="N262" s="12" t="s">
        <v>726</v>
      </c>
    </row>
    <row r="263" customFormat="false" ht="36" hidden="false" customHeight="true" outlineLevel="0" collapsed="false">
      <c r="A263" s="12" t="s">
        <v>870</v>
      </c>
      <c r="B263" s="12" t="s">
        <v>871</v>
      </c>
      <c r="C263" s="12" t="s">
        <v>626</v>
      </c>
      <c r="D263" s="12" t="s">
        <v>872</v>
      </c>
      <c r="E263" s="13" t="n">
        <v>16</v>
      </c>
      <c r="F263" s="13"/>
      <c r="G263" s="13"/>
      <c r="H263" s="13"/>
      <c r="I263" s="13"/>
      <c r="J263" s="13"/>
      <c r="K263" s="12" t="s">
        <v>873</v>
      </c>
      <c r="L263" s="12" t="s">
        <v>29</v>
      </c>
      <c r="M263" s="12" t="s">
        <v>411</v>
      </c>
      <c r="N263" s="12" t="s">
        <v>726</v>
      </c>
    </row>
    <row r="264" customFormat="false" ht="36" hidden="false" customHeight="true" outlineLevel="0" collapsed="false">
      <c r="A264" s="12" t="s">
        <v>870</v>
      </c>
      <c r="B264" s="12" t="s">
        <v>871</v>
      </c>
      <c r="C264" s="12" t="s">
        <v>874</v>
      </c>
      <c r="D264" s="12" t="s">
        <v>872</v>
      </c>
      <c r="E264" s="13"/>
      <c r="F264" s="13"/>
      <c r="G264" s="13"/>
      <c r="H264" s="13"/>
      <c r="I264" s="13"/>
      <c r="J264" s="13" t="n">
        <v>32</v>
      </c>
      <c r="K264" s="12" t="s">
        <v>873</v>
      </c>
      <c r="L264" s="12" t="s">
        <v>29</v>
      </c>
      <c r="M264" s="12" t="s">
        <v>411</v>
      </c>
      <c r="N264" s="12" t="s">
        <v>726</v>
      </c>
    </row>
    <row r="265" customFormat="false" ht="36" hidden="false" customHeight="true" outlineLevel="0" collapsed="false">
      <c r="A265" s="12" t="s">
        <v>875</v>
      </c>
      <c r="B265" s="12" t="s">
        <v>871</v>
      </c>
      <c r="C265" s="12" t="s">
        <v>876</v>
      </c>
      <c r="D265" s="12" t="s">
        <v>877</v>
      </c>
      <c r="E265" s="13" t="n">
        <v>6</v>
      </c>
      <c r="F265" s="13"/>
      <c r="G265" s="13" t="n">
        <v>3</v>
      </c>
      <c r="H265" s="13"/>
      <c r="I265" s="13"/>
      <c r="J265" s="13"/>
      <c r="K265" s="12" t="s">
        <v>878</v>
      </c>
      <c r="L265" s="12" t="s">
        <v>29</v>
      </c>
      <c r="M265" s="12" t="s">
        <v>418</v>
      </c>
      <c r="N265" s="12" t="s">
        <v>726</v>
      </c>
    </row>
    <row r="266" customFormat="false" ht="36" hidden="false" customHeight="true" outlineLevel="0" collapsed="false">
      <c r="A266" s="12" t="s">
        <v>875</v>
      </c>
      <c r="B266" s="12" t="s">
        <v>871</v>
      </c>
      <c r="C266" s="12" t="s">
        <v>634</v>
      </c>
      <c r="D266" s="12" t="s">
        <v>877</v>
      </c>
      <c r="E266" s="13"/>
      <c r="F266" s="13"/>
      <c r="G266" s="13"/>
      <c r="H266" s="13"/>
      <c r="I266" s="13"/>
      <c r="J266" s="13" t="n">
        <v>12.5</v>
      </c>
      <c r="K266" s="12" t="s">
        <v>878</v>
      </c>
      <c r="L266" s="12" t="s">
        <v>29</v>
      </c>
      <c r="M266" s="12" t="s">
        <v>418</v>
      </c>
      <c r="N266" s="12" t="s">
        <v>726</v>
      </c>
    </row>
    <row r="267" customFormat="false" ht="36" hidden="false" customHeight="true" outlineLevel="0" collapsed="false">
      <c r="A267" s="12" t="s">
        <v>875</v>
      </c>
      <c r="B267" s="12" t="s">
        <v>871</v>
      </c>
      <c r="C267" s="12" t="s">
        <v>879</v>
      </c>
      <c r="D267" s="12" t="s">
        <v>877</v>
      </c>
      <c r="E267" s="13" t="n">
        <v>7.2</v>
      </c>
      <c r="F267" s="13"/>
      <c r="G267" s="13"/>
      <c r="H267" s="13"/>
      <c r="I267" s="13"/>
      <c r="J267" s="13" t="n">
        <v>14.5</v>
      </c>
      <c r="K267" s="12" t="s">
        <v>878</v>
      </c>
      <c r="L267" s="12" t="s">
        <v>29</v>
      </c>
      <c r="M267" s="12" t="s">
        <v>418</v>
      </c>
      <c r="N267" s="12" t="s">
        <v>726</v>
      </c>
    </row>
    <row r="268" customFormat="false" ht="36" hidden="false" customHeight="true" outlineLevel="0" collapsed="false">
      <c r="A268" s="12" t="s">
        <v>875</v>
      </c>
      <c r="B268" s="12" t="s">
        <v>871</v>
      </c>
      <c r="C268" s="12" t="s">
        <v>880</v>
      </c>
      <c r="D268" s="12" t="s">
        <v>877</v>
      </c>
      <c r="E268" s="13" t="n">
        <v>10.5</v>
      </c>
      <c r="F268" s="13"/>
      <c r="G268" s="13"/>
      <c r="H268" s="13"/>
      <c r="I268" s="13"/>
      <c r="J268" s="13" t="n">
        <v>21</v>
      </c>
      <c r="K268" s="12" t="s">
        <v>878</v>
      </c>
      <c r="L268" s="12" t="s">
        <v>29</v>
      </c>
      <c r="M268" s="12" t="s">
        <v>418</v>
      </c>
      <c r="N268" s="12" t="s">
        <v>726</v>
      </c>
    </row>
    <row r="269" customFormat="false" ht="36" hidden="false" customHeight="true" outlineLevel="0" collapsed="false">
      <c r="A269" s="12" t="s">
        <v>439</v>
      </c>
      <c r="B269" s="12" t="s">
        <v>860</v>
      </c>
      <c r="C269" s="12" t="s">
        <v>881</v>
      </c>
      <c r="D269" s="12" t="s">
        <v>658</v>
      </c>
      <c r="E269" s="13" t="n">
        <v>25</v>
      </c>
      <c r="F269" s="13"/>
      <c r="G269" s="13"/>
      <c r="H269" s="13"/>
      <c r="I269" s="13"/>
      <c r="J269" s="13"/>
      <c r="K269" s="12" t="s">
        <v>882</v>
      </c>
      <c r="L269" s="12" t="s">
        <v>29</v>
      </c>
      <c r="M269" s="12" t="s">
        <v>442</v>
      </c>
      <c r="N269" s="12" t="s">
        <v>726</v>
      </c>
    </row>
    <row r="270" customFormat="false" ht="36" hidden="false" customHeight="true" outlineLevel="0" collapsed="false">
      <c r="A270" s="12" t="s">
        <v>439</v>
      </c>
      <c r="B270" s="12" t="s">
        <v>860</v>
      </c>
      <c r="C270" s="12" t="s">
        <v>883</v>
      </c>
      <c r="D270" s="12" t="s">
        <v>658</v>
      </c>
      <c r="E270" s="13" t="n">
        <v>27</v>
      </c>
      <c r="F270" s="13"/>
      <c r="G270" s="13"/>
      <c r="H270" s="13"/>
      <c r="I270" s="13"/>
      <c r="J270" s="13"/>
      <c r="K270" s="12" t="s">
        <v>882</v>
      </c>
      <c r="L270" s="12" t="s">
        <v>29</v>
      </c>
      <c r="M270" s="12" t="s">
        <v>442</v>
      </c>
      <c r="N270" s="12" t="s">
        <v>726</v>
      </c>
    </row>
    <row r="271" customFormat="false" ht="36" hidden="false" customHeight="true" outlineLevel="0" collapsed="false">
      <c r="A271" s="12" t="s">
        <v>439</v>
      </c>
      <c r="B271" s="12" t="s">
        <v>860</v>
      </c>
      <c r="C271" s="12" t="s">
        <v>884</v>
      </c>
      <c r="D271" s="12" t="s">
        <v>658</v>
      </c>
      <c r="E271" s="13"/>
      <c r="F271" s="13"/>
      <c r="G271" s="13"/>
      <c r="H271" s="13"/>
      <c r="I271" s="13" t="n">
        <v>21</v>
      </c>
      <c r="J271" s="13"/>
      <c r="K271" s="12" t="s">
        <v>882</v>
      </c>
      <c r="L271" s="12" t="s">
        <v>29</v>
      </c>
      <c r="M271" s="12" t="s">
        <v>442</v>
      </c>
      <c r="N271" s="12" t="s">
        <v>726</v>
      </c>
    </row>
    <row r="272" customFormat="false" ht="36" hidden="false" customHeight="true" outlineLevel="0" collapsed="false">
      <c r="A272" s="12" t="s">
        <v>439</v>
      </c>
      <c r="B272" s="12" t="s">
        <v>860</v>
      </c>
      <c r="C272" s="12" t="s">
        <v>885</v>
      </c>
      <c r="D272" s="12" t="s">
        <v>658</v>
      </c>
      <c r="E272" s="13"/>
      <c r="F272" s="13"/>
      <c r="G272" s="13"/>
      <c r="H272" s="13"/>
      <c r="I272" s="13" t="n">
        <v>23</v>
      </c>
      <c r="J272" s="13"/>
      <c r="K272" s="12" t="s">
        <v>882</v>
      </c>
      <c r="L272" s="12" t="s">
        <v>29</v>
      </c>
      <c r="M272" s="12" t="s">
        <v>442</v>
      </c>
      <c r="N272" s="12" t="s">
        <v>726</v>
      </c>
    </row>
    <row r="273" customFormat="false" ht="36" hidden="false" customHeight="true" outlineLevel="0" collapsed="false">
      <c r="A273" s="12" t="s">
        <v>439</v>
      </c>
      <c r="B273" s="12" t="s">
        <v>860</v>
      </c>
      <c r="C273" s="12" t="s">
        <v>886</v>
      </c>
      <c r="D273" s="12" t="s">
        <v>658</v>
      </c>
      <c r="E273" s="13"/>
      <c r="F273" s="13"/>
      <c r="G273" s="13"/>
      <c r="H273" s="13" t="n">
        <v>9</v>
      </c>
      <c r="I273" s="13"/>
      <c r="J273" s="13"/>
      <c r="K273" s="12" t="s">
        <v>882</v>
      </c>
      <c r="L273" s="12" t="s">
        <v>29</v>
      </c>
      <c r="M273" s="12" t="s">
        <v>442</v>
      </c>
      <c r="N273" s="12" t="s">
        <v>726</v>
      </c>
    </row>
    <row r="274" customFormat="false" ht="36" hidden="false" customHeight="true" outlineLevel="0" collapsed="false">
      <c r="A274" s="12" t="s">
        <v>439</v>
      </c>
      <c r="B274" s="12" t="s">
        <v>860</v>
      </c>
      <c r="C274" s="12" t="s">
        <v>887</v>
      </c>
      <c r="D274" s="12" t="s">
        <v>658</v>
      </c>
      <c r="E274" s="13" t="n">
        <v>23</v>
      </c>
      <c r="F274" s="13"/>
      <c r="G274" s="13"/>
      <c r="H274" s="13"/>
      <c r="I274" s="13"/>
      <c r="J274" s="13" t="n">
        <v>23</v>
      </c>
      <c r="K274" s="12" t="s">
        <v>882</v>
      </c>
      <c r="L274" s="12" t="s">
        <v>29</v>
      </c>
      <c r="M274" s="12" t="s">
        <v>442</v>
      </c>
      <c r="N274" s="12" t="s">
        <v>726</v>
      </c>
    </row>
    <row r="275" customFormat="false" ht="36" hidden="false" customHeight="true" outlineLevel="0" collapsed="false">
      <c r="A275" s="12" t="s">
        <v>439</v>
      </c>
      <c r="B275" s="12" t="s">
        <v>860</v>
      </c>
      <c r="C275" s="12" t="s">
        <v>888</v>
      </c>
      <c r="D275" s="12" t="s">
        <v>658</v>
      </c>
      <c r="E275" s="13" t="n">
        <v>25</v>
      </c>
      <c r="F275" s="13"/>
      <c r="G275" s="13"/>
      <c r="H275" s="13"/>
      <c r="I275" s="13"/>
      <c r="J275" s="13" t="n">
        <v>25</v>
      </c>
      <c r="K275" s="12" t="s">
        <v>882</v>
      </c>
      <c r="L275" s="12" t="s">
        <v>29</v>
      </c>
      <c r="M275" s="12" t="s">
        <v>442</v>
      </c>
      <c r="N275" s="12" t="s">
        <v>726</v>
      </c>
    </row>
    <row r="276" customFormat="false" ht="36" hidden="false" customHeight="true" outlineLevel="0" collapsed="false">
      <c r="A276" s="12" t="s">
        <v>433</v>
      </c>
      <c r="B276" s="12" t="s">
        <v>871</v>
      </c>
      <c r="C276" s="12" t="s">
        <v>628</v>
      </c>
      <c r="D276" s="12" t="s">
        <v>877</v>
      </c>
      <c r="E276" s="13" t="n">
        <v>4.5</v>
      </c>
      <c r="F276" s="13"/>
      <c r="G276" s="13" t="n">
        <v>3</v>
      </c>
      <c r="H276" s="13"/>
      <c r="I276" s="13"/>
      <c r="J276" s="13" t="n">
        <v>9</v>
      </c>
      <c r="K276" s="12" t="s">
        <v>889</v>
      </c>
      <c r="L276" s="12" t="s">
        <v>29</v>
      </c>
      <c r="M276" s="12" t="s">
        <v>436</v>
      </c>
      <c r="N276" s="12" t="s">
        <v>726</v>
      </c>
    </row>
    <row r="277" customFormat="false" ht="36" hidden="false" customHeight="true" outlineLevel="0" collapsed="false">
      <c r="A277" s="12" t="s">
        <v>506</v>
      </c>
      <c r="B277" s="12" t="s">
        <v>462</v>
      </c>
      <c r="C277" s="12" t="s">
        <v>890</v>
      </c>
      <c r="D277" s="12" t="s">
        <v>491</v>
      </c>
      <c r="E277" s="13" t="n">
        <v>5</v>
      </c>
      <c r="F277" s="13"/>
      <c r="G277" s="13" t="n">
        <v>4</v>
      </c>
      <c r="H277" s="13" t="n">
        <v>3</v>
      </c>
      <c r="I277" s="13"/>
      <c r="J277" s="13"/>
      <c r="K277" s="12" t="s">
        <v>891</v>
      </c>
      <c r="L277" s="12" t="s">
        <v>29</v>
      </c>
      <c r="M277" s="12" t="s">
        <v>510</v>
      </c>
      <c r="N277" s="12" t="s">
        <v>726</v>
      </c>
    </row>
    <row r="278" customFormat="false" ht="36" hidden="false" customHeight="true" outlineLevel="0" collapsed="false">
      <c r="A278" s="12" t="s">
        <v>506</v>
      </c>
      <c r="B278" s="12" t="s">
        <v>462</v>
      </c>
      <c r="C278" s="12" t="s">
        <v>834</v>
      </c>
      <c r="D278" s="12" t="s">
        <v>491</v>
      </c>
      <c r="E278" s="13" t="n">
        <v>45</v>
      </c>
      <c r="F278" s="13"/>
      <c r="G278" s="13" t="n">
        <v>32</v>
      </c>
      <c r="H278" s="13" t="n">
        <v>25</v>
      </c>
      <c r="I278" s="13"/>
      <c r="J278" s="13"/>
      <c r="K278" s="12" t="s">
        <v>891</v>
      </c>
      <c r="L278" s="12" t="s">
        <v>29</v>
      </c>
      <c r="M278" s="12" t="s">
        <v>510</v>
      </c>
      <c r="N278" s="12" t="s">
        <v>726</v>
      </c>
    </row>
    <row r="279" customFormat="false" ht="36" hidden="false" customHeight="true" outlineLevel="0" collapsed="false">
      <c r="A279" s="12" t="s">
        <v>506</v>
      </c>
      <c r="B279" s="12" t="s">
        <v>462</v>
      </c>
      <c r="C279" s="12" t="s">
        <v>599</v>
      </c>
      <c r="D279" s="12" t="s">
        <v>491</v>
      </c>
      <c r="E279" s="13" t="n">
        <v>100</v>
      </c>
      <c r="F279" s="13"/>
      <c r="G279" s="13" t="n">
        <v>75</v>
      </c>
      <c r="H279" s="13" t="n">
        <v>50</v>
      </c>
      <c r="I279" s="13"/>
      <c r="J279" s="13"/>
      <c r="K279" s="12" t="s">
        <v>891</v>
      </c>
      <c r="L279" s="12" t="s">
        <v>29</v>
      </c>
      <c r="M279" s="12" t="s">
        <v>510</v>
      </c>
      <c r="N279" s="12" t="s">
        <v>726</v>
      </c>
    </row>
    <row r="280" customFormat="false" ht="36" hidden="false" customHeight="true" outlineLevel="0" collapsed="false">
      <c r="A280" s="12" t="s">
        <v>706</v>
      </c>
      <c r="B280" s="12" t="s">
        <v>707</v>
      </c>
      <c r="C280" s="12" t="s">
        <v>708</v>
      </c>
      <c r="D280" s="12" t="s">
        <v>272</v>
      </c>
      <c r="E280" s="13" t="n">
        <v>20</v>
      </c>
      <c r="F280" s="13"/>
      <c r="G280" s="13" t="n">
        <v>17</v>
      </c>
      <c r="H280" s="13" t="n">
        <v>11</v>
      </c>
      <c r="I280" s="13"/>
      <c r="J280" s="13"/>
      <c r="K280" s="12" t="s">
        <v>892</v>
      </c>
      <c r="L280" s="12" t="s">
        <v>29</v>
      </c>
      <c r="M280" s="12" t="s">
        <v>57</v>
      </c>
      <c r="N280" s="12" t="s">
        <v>726</v>
      </c>
    </row>
    <row r="281" customFormat="false" ht="36" hidden="false" customHeight="true" outlineLevel="0" collapsed="false">
      <c r="A281" s="12" t="s">
        <v>706</v>
      </c>
      <c r="B281" s="12" t="s">
        <v>707</v>
      </c>
      <c r="C281" s="12" t="s">
        <v>893</v>
      </c>
      <c r="D281" s="12" t="s">
        <v>272</v>
      </c>
      <c r="E281" s="13" t="n">
        <v>28</v>
      </c>
      <c r="F281" s="13"/>
      <c r="G281" s="13" t="n">
        <v>26.5</v>
      </c>
      <c r="H281" s="13" t="n">
        <v>17.5</v>
      </c>
      <c r="I281" s="13"/>
      <c r="J281" s="13"/>
      <c r="K281" s="12" t="s">
        <v>892</v>
      </c>
      <c r="L281" s="12" t="s">
        <v>29</v>
      </c>
      <c r="M281" s="12" t="s">
        <v>57</v>
      </c>
      <c r="N281" s="12" t="s">
        <v>726</v>
      </c>
    </row>
    <row r="282" customFormat="false" ht="36" hidden="false" customHeight="true" outlineLevel="0" collapsed="false">
      <c r="A282" s="12" t="s">
        <v>706</v>
      </c>
      <c r="B282" s="12" t="s">
        <v>707</v>
      </c>
      <c r="C282" s="12" t="s">
        <v>712</v>
      </c>
      <c r="D282" s="12" t="s">
        <v>272</v>
      </c>
      <c r="E282" s="13" t="n">
        <v>30.5</v>
      </c>
      <c r="F282" s="13"/>
      <c r="G282" s="13" t="n">
        <v>28.5</v>
      </c>
      <c r="H282" s="13" t="n">
        <v>16.5</v>
      </c>
      <c r="I282" s="13"/>
      <c r="J282" s="13"/>
      <c r="K282" s="12" t="s">
        <v>892</v>
      </c>
      <c r="L282" s="12" t="s">
        <v>29</v>
      </c>
      <c r="M282" s="12" t="s">
        <v>57</v>
      </c>
      <c r="N282" s="12" t="s">
        <v>726</v>
      </c>
    </row>
    <row r="283" customFormat="false" ht="36" hidden="false" customHeight="true" outlineLevel="0" collapsed="false">
      <c r="A283" s="12" t="s">
        <v>706</v>
      </c>
      <c r="B283" s="12" t="s">
        <v>707</v>
      </c>
      <c r="C283" s="12" t="s">
        <v>894</v>
      </c>
      <c r="D283" s="12" t="s">
        <v>272</v>
      </c>
      <c r="E283" s="13" t="n">
        <v>34</v>
      </c>
      <c r="F283" s="13"/>
      <c r="G283" s="13" t="n">
        <v>32.5</v>
      </c>
      <c r="H283" s="13" t="n">
        <v>24.5</v>
      </c>
      <c r="I283" s="13"/>
      <c r="J283" s="13"/>
      <c r="K283" s="12" t="s">
        <v>892</v>
      </c>
      <c r="L283" s="12" t="s">
        <v>29</v>
      </c>
      <c r="M283" s="12" t="s">
        <v>57</v>
      </c>
      <c r="N283" s="12" t="s">
        <v>726</v>
      </c>
    </row>
    <row r="284" customFormat="false" ht="36" hidden="false" customHeight="true" outlineLevel="0" collapsed="false">
      <c r="A284" s="12" t="s">
        <v>706</v>
      </c>
      <c r="B284" s="12" t="s">
        <v>707</v>
      </c>
      <c r="C284" s="12" t="s">
        <v>895</v>
      </c>
      <c r="D284" s="12" t="s">
        <v>272</v>
      </c>
      <c r="E284" s="13" t="n">
        <v>32.5</v>
      </c>
      <c r="F284" s="13"/>
      <c r="G284" s="13" t="n">
        <v>31</v>
      </c>
      <c r="H284" s="13" t="n">
        <v>21</v>
      </c>
      <c r="I284" s="13"/>
      <c r="J284" s="13"/>
      <c r="K284" s="12" t="s">
        <v>892</v>
      </c>
      <c r="L284" s="12" t="s">
        <v>29</v>
      </c>
      <c r="M284" s="12" t="s">
        <v>57</v>
      </c>
      <c r="N284" s="12" t="s">
        <v>726</v>
      </c>
    </row>
    <row r="285" customFormat="false" ht="36" hidden="false" customHeight="true" outlineLevel="0" collapsed="false">
      <c r="A285" s="12" t="s">
        <v>706</v>
      </c>
      <c r="B285" s="12" t="s">
        <v>707</v>
      </c>
      <c r="C285" s="12" t="s">
        <v>715</v>
      </c>
      <c r="D285" s="12" t="s">
        <v>272</v>
      </c>
      <c r="E285" s="13" t="n">
        <v>38</v>
      </c>
      <c r="F285" s="13"/>
      <c r="G285" s="13" t="n">
        <v>35.5</v>
      </c>
      <c r="H285" s="13" t="n">
        <v>26.5</v>
      </c>
      <c r="I285" s="13"/>
      <c r="J285" s="13"/>
      <c r="K285" s="12" t="s">
        <v>892</v>
      </c>
      <c r="L285" s="12" t="s">
        <v>29</v>
      </c>
      <c r="M285" s="12" t="s">
        <v>57</v>
      </c>
      <c r="N285" s="12" t="s">
        <v>726</v>
      </c>
    </row>
    <row r="286" customFormat="false" ht="36" hidden="false" customHeight="true" outlineLevel="0" collapsed="false">
      <c r="A286" s="12" t="s">
        <v>706</v>
      </c>
      <c r="B286" s="12" t="s">
        <v>707</v>
      </c>
      <c r="C286" s="12" t="s">
        <v>201</v>
      </c>
      <c r="D286" s="12" t="s">
        <v>272</v>
      </c>
      <c r="E286" s="13" t="n">
        <v>48.5</v>
      </c>
      <c r="F286" s="13"/>
      <c r="G286" s="13" t="n">
        <v>45.5</v>
      </c>
      <c r="H286" s="13" t="n">
        <v>35</v>
      </c>
      <c r="I286" s="13"/>
      <c r="J286" s="13"/>
      <c r="K286" s="12" t="s">
        <v>892</v>
      </c>
      <c r="L286" s="12" t="s">
        <v>29</v>
      </c>
      <c r="M286" s="12" t="s">
        <v>57</v>
      </c>
      <c r="N286" s="12" t="s">
        <v>726</v>
      </c>
    </row>
    <row r="287" customFormat="false" ht="36" hidden="false" customHeight="true" outlineLevel="0" collapsed="false">
      <c r="A287" s="12" t="s">
        <v>706</v>
      </c>
      <c r="B287" s="12" t="s">
        <v>707</v>
      </c>
      <c r="C287" s="12" t="s">
        <v>896</v>
      </c>
      <c r="D287" s="12" t="s">
        <v>272</v>
      </c>
      <c r="E287" s="13" t="n">
        <v>32.5</v>
      </c>
      <c r="F287" s="13"/>
      <c r="G287" s="13" t="n">
        <v>30.5</v>
      </c>
      <c r="H287" s="13" t="n">
        <v>21.5</v>
      </c>
      <c r="I287" s="13"/>
      <c r="J287" s="13"/>
      <c r="K287" s="12" t="s">
        <v>892</v>
      </c>
      <c r="L287" s="12" t="s">
        <v>29</v>
      </c>
      <c r="M287" s="12" t="s">
        <v>57</v>
      </c>
      <c r="N287" s="12" t="s">
        <v>726</v>
      </c>
    </row>
    <row r="288" customFormat="false" ht="36" hidden="false" customHeight="true" outlineLevel="0" collapsed="false">
      <c r="A288" s="12" t="s">
        <v>706</v>
      </c>
      <c r="B288" s="12" t="s">
        <v>707</v>
      </c>
      <c r="C288" s="12" t="s">
        <v>897</v>
      </c>
      <c r="D288" s="12" t="s">
        <v>272</v>
      </c>
      <c r="E288" s="13" t="n">
        <v>42</v>
      </c>
      <c r="F288" s="13"/>
      <c r="G288" s="13" t="n">
        <v>39.5</v>
      </c>
      <c r="H288" s="13" t="n">
        <v>30.5</v>
      </c>
      <c r="I288" s="13"/>
      <c r="J288" s="13"/>
      <c r="K288" s="12" t="s">
        <v>892</v>
      </c>
      <c r="L288" s="12" t="s">
        <v>29</v>
      </c>
      <c r="M288" s="12" t="s">
        <v>57</v>
      </c>
      <c r="N288" s="12" t="s">
        <v>726</v>
      </c>
    </row>
    <row r="289" customFormat="false" ht="36" hidden="false" customHeight="true" outlineLevel="0" collapsed="false">
      <c r="A289" s="12" t="s">
        <v>301</v>
      </c>
      <c r="B289" s="12" t="s">
        <v>817</v>
      </c>
      <c r="C289" s="12" t="s">
        <v>898</v>
      </c>
      <c r="D289" s="12" t="s">
        <v>261</v>
      </c>
      <c r="E289" s="13" t="n">
        <v>8</v>
      </c>
      <c r="F289" s="13" t="n">
        <v>5</v>
      </c>
      <c r="G289" s="13" t="n">
        <v>5.7</v>
      </c>
      <c r="H289" s="13" t="n">
        <v>4</v>
      </c>
      <c r="I289" s="13"/>
      <c r="J289" s="13"/>
      <c r="K289" s="12" t="s">
        <v>899</v>
      </c>
      <c r="L289" s="12" t="s">
        <v>29</v>
      </c>
      <c r="M289" s="12" t="s">
        <v>307</v>
      </c>
      <c r="N289" s="12" t="s">
        <v>900</v>
      </c>
    </row>
    <row r="290" customFormat="false" ht="36" hidden="false" customHeight="true" outlineLevel="0" collapsed="false">
      <c r="A290" s="12" t="s">
        <v>301</v>
      </c>
      <c r="B290" s="12" t="s">
        <v>817</v>
      </c>
      <c r="C290" s="12" t="s">
        <v>901</v>
      </c>
      <c r="D290" s="12" t="s">
        <v>261</v>
      </c>
      <c r="E290" s="13" t="n">
        <v>5.7</v>
      </c>
      <c r="F290" s="13"/>
      <c r="G290" s="13"/>
      <c r="H290" s="13"/>
      <c r="I290" s="13"/>
      <c r="J290" s="13"/>
      <c r="K290" s="12" t="s">
        <v>902</v>
      </c>
      <c r="L290" s="12" t="s">
        <v>29</v>
      </c>
      <c r="M290" s="12" t="s">
        <v>307</v>
      </c>
      <c r="N290" s="12" t="s">
        <v>900</v>
      </c>
    </row>
    <row r="291" customFormat="false" ht="36" hidden="false" customHeight="true" outlineLevel="0" collapsed="false">
      <c r="A291" s="12" t="s">
        <v>301</v>
      </c>
      <c r="B291" s="12" t="s">
        <v>817</v>
      </c>
      <c r="C291" s="12" t="s">
        <v>903</v>
      </c>
      <c r="D291" s="12" t="s">
        <v>261</v>
      </c>
      <c r="E291" s="13" t="n">
        <v>5</v>
      </c>
      <c r="F291" s="13"/>
      <c r="G291" s="13" t="n">
        <v>4</v>
      </c>
      <c r="H291" s="13" t="n">
        <v>3.2</v>
      </c>
      <c r="I291" s="13"/>
      <c r="J291" s="13"/>
      <c r="K291" s="12" t="s">
        <v>904</v>
      </c>
      <c r="L291" s="12" t="s">
        <v>29</v>
      </c>
      <c r="M291" s="12" t="s">
        <v>307</v>
      </c>
      <c r="N291" s="12" t="s">
        <v>900</v>
      </c>
    </row>
    <row r="292" customFormat="false" ht="36" hidden="false" customHeight="true" outlineLevel="0" collapsed="false">
      <c r="A292" s="12" t="s">
        <v>301</v>
      </c>
      <c r="B292" s="12" t="s">
        <v>817</v>
      </c>
      <c r="C292" s="12" t="s">
        <v>599</v>
      </c>
      <c r="D292" s="12" t="s">
        <v>261</v>
      </c>
      <c r="E292" s="13" t="n">
        <v>140</v>
      </c>
      <c r="F292" s="13"/>
      <c r="G292" s="13" t="n">
        <v>105</v>
      </c>
      <c r="H292" s="13" t="n">
        <v>72</v>
      </c>
      <c r="I292" s="13"/>
      <c r="J292" s="13"/>
      <c r="K292" s="12" t="s">
        <v>905</v>
      </c>
      <c r="L292" s="12" t="s">
        <v>29</v>
      </c>
      <c r="M292" s="12" t="s">
        <v>307</v>
      </c>
      <c r="N292" s="12" t="s">
        <v>900</v>
      </c>
    </row>
    <row r="293" customFormat="false" ht="36" hidden="false" customHeight="true" outlineLevel="0" collapsed="false">
      <c r="A293" s="12" t="s">
        <v>382</v>
      </c>
      <c r="B293" s="12" t="s">
        <v>817</v>
      </c>
      <c r="C293" s="12" t="s">
        <v>201</v>
      </c>
      <c r="D293" s="12" t="s">
        <v>261</v>
      </c>
      <c r="E293" s="13" t="n">
        <v>5.2</v>
      </c>
      <c r="F293" s="13" t="n">
        <v>3.8</v>
      </c>
      <c r="G293" s="13" t="n">
        <v>3.8</v>
      </c>
      <c r="H293" s="13" t="n">
        <v>2</v>
      </c>
      <c r="I293" s="13"/>
      <c r="J293" s="13"/>
      <c r="K293" s="12" t="s">
        <v>906</v>
      </c>
      <c r="L293" s="12" t="s">
        <v>29</v>
      </c>
      <c r="M293" s="12" t="s">
        <v>386</v>
      </c>
      <c r="N293" s="12" t="s">
        <v>900</v>
      </c>
    </row>
    <row r="294" customFormat="false" ht="36" hidden="false" customHeight="true" outlineLevel="0" collapsed="false">
      <c r="A294" s="12" t="s">
        <v>382</v>
      </c>
      <c r="B294" s="12" t="s">
        <v>817</v>
      </c>
      <c r="C294" s="12" t="s">
        <v>903</v>
      </c>
      <c r="D294" s="12" t="s">
        <v>261</v>
      </c>
      <c r="E294" s="13" t="n">
        <v>3.9</v>
      </c>
      <c r="F294" s="13"/>
      <c r="G294" s="13" t="n">
        <v>3.8</v>
      </c>
      <c r="H294" s="13" t="n">
        <v>2</v>
      </c>
      <c r="I294" s="13"/>
      <c r="J294" s="13"/>
      <c r="K294" s="12" t="s">
        <v>907</v>
      </c>
      <c r="L294" s="12" t="s">
        <v>29</v>
      </c>
      <c r="M294" s="12" t="s">
        <v>386</v>
      </c>
      <c r="N294" s="12" t="s">
        <v>900</v>
      </c>
    </row>
    <row r="295" customFormat="false" ht="36" hidden="false" customHeight="true" outlineLevel="0" collapsed="false">
      <c r="A295" s="12" t="s">
        <v>382</v>
      </c>
      <c r="B295" s="12" t="s">
        <v>817</v>
      </c>
      <c r="C295" s="12" t="s">
        <v>599</v>
      </c>
      <c r="D295" s="12" t="s">
        <v>261</v>
      </c>
      <c r="E295" s="13" t="n">
        <v>78</v>
      </c>
      <c r="F295" s="13" t="n">
        <v>56.5</v>
      </c>
      <c r="G295" s="13" t="n">
        <v>45</v>
      </c>
      <c r="H295" s="13" t="n">
        <v>23.5</v>
      </c>
      <c r="I295" s="13"/>
      <c r="J295" s="13"/>
      <c r="K295" s="12" t="s">
        <v>908</v>
      </c>
      <c r="L295" s="12" t="s">
        <v>29</v>
      </c>
      <c r="M295" s="12" t="s">
        <v>386</v>
      </c>
      <c r="N295" s="12" t="s">
        <v>900</v>
      </c>
    </row>
    <row r="296" customFormat="false" ht="36" hidden="false" customHeight="true" outlineLevel="0" collapsed="false">
      <c r="A296" s="12" t="s">
        <v>463</v>
      </c>
      <c r="B296" s="12" t="s">
        <v>462</v>
      </c>
      <c r="C296" s="12" t="s">
        <v>397</v>
      </c>
      <c r="D296" s="12" t="s">
        <v>909</v>
      </c>
      <c r="E296" s="13" t="n">
        <v>5</v>
      </c>
      <c r="F296" s="13"/>
      <c r="G296" s="13"/>
      <c r="H296" s="13" t="n">
        <v>3</v>
      </c>
      <c r="I296" s="13"/>
      <c r="J296" s="13"/>
      <c r="K296" s="12" t="s">
        <v>910</v>
      </c>
      <c r="L296" s="12" t="s">
        <v>29</v>
      </c>
      <c r="M296" s="12" t="s">
        <v>473</v>
      </c>
      <c r="N296" s="12" t="s">
        <v>911</v>
      </c>
    </row>
    <row r="297" customFormat="false" ht="36" hidden="false" customHeight="true" outlineLevel="0" collapsed="false">
      <c r="A297" s="12" t="s">
        <v>489</v>
      </c>
      <c r="B297" s="12" t="s">
        <v>462</v>
      </c>
      <c r="C297" s="12" t="s">
        <v>912</v>
      </c>
      <c r="D297" s="12" t="s">
        <v>491</v>
      </c>
      <c r="E297" s="13" t="n">
        <v>8</v>
      </c>
      <c r="F297" s="13"/>
      <c r="G297" s="13"/>
      <c r="H297" s="13" t="n">
        <v>4.5</v>
      </c>
      <c r="I297" s="13"/>
      <c r="J297" s="13" t="n">
        <v>16</v>
      </c>
      <c r="K297" s="12" t="s">
        <v>913</v>
      </c>
      <c r="L297" s="12" t="s">
        <v>29</v>
      </c>
      <c r="M297" s="12" t="s">
        <v>492</v>
      </c>
      <c r="N297" s="12" t="s">
        <v>914</v>
      </c>
    </row>
    <row r="298" customFormat="false" ht="36" hidden="false" customHeight="true" outlineLevel="0" collapsed="false">
      <c r="A298" s="12" t="s">
        <v>494</v>
      </c>
      <c r="B298" s="12" t="s">
        <v>462</v>
      </c>
      <c r="C298" s="12" t="s">
        <v>397</v>
      </c>
      <c r="D298" s="12" t="s">
        <v>915</v>
      </c>
      <c r="E298" s="13" t="n">
        <v>4.5</v>
      </c>
      <c r="F298" s="13" t="n">
        <v>3.6</v>
      </c>
      <c r="G298" s="13" t="n">
        <v>3.3</v>
      </c>
      <c r="H298" s="13" t="n">
        <v>2</v>
      </c>
      <c r="I298" s="13"/>
      <c r="J298" s="13"/>
      <c r="K298" s="12" t="s">
        <v>916</v>
      </c>
      <c r="L298" s="12" t="s">
        <v>29</v>
      </c>
      <c r="M298" s="12" t="s">
        <v>496</v>
      </c>
      <c r="N298" s="12" t="s">
        <v>917</v>
      </c>
    </row>
    <row r="299" customFormat="false" ht="36" hidden="false" customHeight="true" outlineLevel="0" collapsed="false">
      <c r="A299" s="12" t="s">
        <v>475</v>
      </c>
      <c r="B299" s="12" t="s">
        <v>462</v>
      </c>
      <c r="C299" s="12" t="s">
        <v>397</v>
      </c>
      <c r="D299" s="12" t="s">
        <v>915</v>
      </c>
      <c r="E299" s="13" t="n">
        <v>4.6</v>
      </c>
      <c r="F299" s="13"/>
      <c r="G299" s="13"/>
      <c r="H299" s="13" t="n">
        <v>3.8</v>
      </c>
      <c r="I299" s="13"/>
      <c r="J299" s="13"/>
      <c r="K299" s="12" t="s">
        <v>918</v>
      </c>
      <c r="L299" s="12" t="s">
        <v>29</v>
      </c>
      <c r="M299" s="12" t="s">
        <v>479</v>
      </c>
      <c r="N299" s="12" t="s">
        <v>919</v>
      </c>
    </row>
    <row r="300" customFormat="false" ht="36" hidden="false" customHeight="true" outlineLevel="0" collapsed="false">
      <c r="A300" s="12" t="s">
        <v>920</v>
      </c>
      <c r="B300" s="12" t="s">
        <v>19</v>
      </c>
      <c r="C300" s="12" t="s">
        <v>179</v>
      </c>
      <c r="D300" s="12" t="s">
        <v>77</v>
      </c>
      <c r="E300" s="13" t="n">
        <v>40</v>
      </c>
      <c r="F300" s="13"/>
      <c r="G300" s="13"/>
      <c r="H300" s="13" t="n">
        <v>33.5</v>
      </c>
      <c r="I300" s="13"/>
      <c r="J300" s="13"/>
      <c r="K300" s="12" t="s">
        <v>921</v>
      </c>
      <c r="L300" s="12" t="s">
        <v>29</v>
      </c>
      <c r="M300" s="12" t="s">
        <v>180</v>
      </c>
      <c r="N300" s="12" t="s">
        <v>922</v>
      </c>
    </row>
    <row r="301" customFormat="false" ht="36" hidden="false" customHeight="true" outlineLevel="0" collapsed="false">
      <c r="A301" s="12" t="s">
        <v>920</v>
      </c>
      <c r="B301" s="12" t="s">
        <v>19</v>
      </c>
      <c r="C301" s="12" t="s">
        <v>923</v>
      </c>
      <c r="D301" s="12" t="s">
        <v>77</v>
      </c>
      <c r="E301" s="13" t="n">
        <v>30.5</v>
      </c>
      <c r="F301" s="13"/>
      <c r="G301" s="13"/>
      <c r="H301" s="13" t="n">
        <v>28</v>
      </c>
      <c r="I301" s="13"/>
      <c r="J301" s="13"/>
      <c r="K301" s="12" t="s">
        <v>924</v>
      </c>
      <c r="L301" s="12" t="s">
        <v>29</v>
      </c>
      <c r="M301" s="12" t="s">
        <v>180</v>
      </c>
      <c r="N301" s="12" t="s">
        <v>922</v>
      </c>
    </row>
    <row r="302" customFormat="false" ht="36" hidden="false" customHeight="true" outlineLevel="0" collapsed="false">
      <c r="A302" s="12" t="s">
        <v>920</v>
      </c>
      <c r="B302" s="12" t="s">
        <v>19</v>
      </c>
      <c r="C302" s="12" t="s">
        <v>925</v>
      </c>
      <c r="D302" s="12" t="s">
        <v>77</v>
      </c>
      <c r="E302" s="13" t="n">
        <v>35.5</v>
      </c>
      <c r="F302" s="13"/>
      <c r="G302" s="13"/>
      <c r="H302" s="13" t="n">
        <v>30.5</v>
      </c>
      <c r="I302" s="13"/>
      <c r="J302" s="13"/>
      <c r="K302" s="12" t="s">
        <v>924</v>
      </c>
      <c r="L302" s="12" t="s">
        <v>29</v>
      </c>
      <c r="M302" s="12" t="s">
        <v>180</v>
      </c>
      <c r="N302" s="12" t="s">
        <v>922</v>
      </c>
    </row>
    <row r="303" customFormat="false" ht="36" hidden="false" customHeight="true" outlineLevel="0" collapsed="false">
      <c r="A303" s="12" t="s">
        <v>920</v>
      </c>
      <c r="B303" s="12" t="s">
        <v>19</v>
      </c>
      <c r="C303" s="12" t="s">
        <v>926</v>
      </c>
      <c r="D303" s="12" t="s">
        <v>77</v>
      </c>
      <c r="E303" s="13" t="n">
        <v>30.5</v>
      </c>
      <c r="F303" s="13"/>
      <c r="G303" s="13"/>
      <c r="H303" s="13" t="n">
        <v>28.5</v>
      </c>
      <c r="I303" s="13"/>
      <c r="J303" s="13"/>
      <c r="K303" s="12" t="s">
        <v>924</v>
      </c>
      <c r="L303" s="12" t="s">
        <v>29</v>
      </c>
      <c r="M303" s="12" t="s">
        <v>180</v>
      </c>
      <c r="N303" s="12" t="s">
        <v>922</v>
      </c>
    </row>
    <row r="304" customFormat="false" ht="36" hidden="false" customHeight="true" outlineLevel="0" collapsed="false">
      <c r="A304" s="12" t="s">
        <v>920</v>
      </c>
      <c r="B304" s="12" t="s">
        <v>19</v>
      </c>
      <c r="C304" s="12" t="s">
        <v>927</v>
      </c>
      <c r="D304" s="12" t="s">
        <v>77</v>
      </c>
      <c r="E304" s="13" t="n">
        <v>28.5</v>
      </c>
      <c r="F304" s="13"/>
      <c r="G304" s="13"/>
      <c r="H304" s="13" t="n">
        <v>26</v>
      </c>
      <c r="I304" s="13"/>
      <c r="J304" s="13"/>
      <c r="K304" s="12" t="s">
        <v>924</v>
      </c>
      <c r="L304" s="12" t="s">
        <v>29</v>
      </c>
      <c r="M304" s="12" t="s">
        <v>180</v>
      </c>
      <c r="N304" s="12" t="s">
        <v>922</v>
      </c>
    </row>
    <row r="305" customFormat="false" ht="36" hidden="false" customHeight="true" outlineLevel="0" collapsed="false">
      <c r="A305" s="12" t="s">
        <v>182</v>
      </c>
      <c r="B305" s="12" t="s">
        <v>19</v>
      </c>
      <c r="C305" s="12" t="s">
        <v>32</v>
      </c>
      <c r="D305" s="12" t="s">
        <v>95</v>
      </c>
      <c r="E305" s="13" t="n">
        <v>48</v>
      </c>
      <c r="F305" s="13" t="n">
        <v>41</v>
      </c>
      <c r="G305" s="13" t="n">
        <v>39</v>
      </c>
      <c r="H305" s="13" t="n">
        <v>26.5</v>
      </c>
      <c r="I305" s="13"/>
      <c r="J305" s="13"/>
      <c r="K305" s="12" t="s">
        <v>928</v>
      </c>
      <c r="L305" s="12" t="s">
        <v>29</v>
      </c>
      <c r="M305" s="12" t="s">
        <v>187</v>
      </c>
      <c r="N305" s="12" t="s">
        <v>929</v>
      </c>
    </row>
    <row r="306" customFormat="false" ht="36" hidden="false" customHeight="true" outlineLevel="0" collapsed="false">
      <c r="A306" s="12" t="s">
        <v>80</v>
      </c>
      <c r="B306" s="12" t="s">
        <v>19</v>
      </c>
      <c r="C306" s="12" t="s">
        <v>32</v>
      </c>
      <c r="D306" s="12" t="s">
        <v>930</v>
      </c>
      <c r="E306" s="13" t="n">
        <v>48.5</v>
      </c>
      <c r="F306" s="13"/>
      <c r="G306" s="13"/>
      <c r="H306" s="13"/>
      <c r="I306" s="13"/>
      <c r="J306" s="13"/>
      <c r="K306" s="12" t="s">
        <v>931</v>
      </c>
      <c r="L306" s="12" t="s">
        <v>29</v>
      </c>
      <c r="M306" s="12" t="s">
        <v>932</v>
      </c>
      <c r="N306" s="12" t="s">
        <v>933</v>
      </c>
    </row>
    <row r="307" customFormat="false" ht="38" hidden="false" customHeight="true" outlineLevel="0" collapsed="false">
      <c r="A307" s="9" t="s">
        <v>153</v>
      </c>
      <c r="B307" s="9" t="s">
        <v>934</v>
      </c>
      <c r="C307" s="9" t="s">
        <v>158</v>
      </c>
      <c r="D307" s="9" t="s">
        <v>159</v>
      </c>
      <c r="E307" s="14" t="n">
        <v>33</v>
      </c>
      <c r="F307" s="14" t="n">
        <v>31.3</v>
      </c>
      <c r="G307" s="14" t="n">
        <v>28</v>
      </c>
      <c r="H307" s="14" t="n">
        <v>18</v>
      </c>
      <c r="I307" s="14"/>
      <c r="J307" s="14"/>
      <c r="K307" s="9" t="s">
        <v>935</v>
      </c>
      <c r="L307" s="9" t="s">
        <v>29</v>
      </c>
      <c r="M307" s="9" t="s">
        <v>160</v>
      </c>
      <c r="N307" s="9" t="s">
        <v>936</v>
      </c>
    </row>
    <row r="308" customFormat="false" ht="38" hidden="false" customHeight="true" outlineLevel="0" collapsed="false">
      <c r="A308" s="9" t="s">
        <v>153</v>
      </c>
      <c r="B308" s="9" t="s">
        <v>934</v>
      </c>
      <c r="C308" s="9" t="s">
        <v>937</v>
      </c>
      <c r="D308" s="9" t="s">
        <v>159</v>
      </c>
      <c r="E308" s="14" t="n">
        <v>22.3</v>
      </c>
      <c r="F308" s="14" t="n">
        <v>21.2</v>
      </c>
      <c r="G308" s="14" t="n">
        <v>19</v>
      </c>
      <c r="H308" s="14" t="n">
        <v>12.2</v>
      </c>
      <c r="I308" s="14"/>
      <c r="J308" s="14"/>
      <c r="K308" s="9" t="s">
        <v>938</v>
      </c>
      <c r="L308" s="9" t="s">
        <v>29</v>
      </c>
      <c r="M308" s="9" t="s">
        <v>160</v>
      </c>
      <c r="N308" s="9" t="s">
        <v>936</v>
      </c>
    </row>
    <row r="309" customFormat="false" ht="38" hidden="false" customHeight="true" outlineLevel="0" collapsed="false">
      <c r="A309" s="9" t="s">
        <v>153</v>
      </c>
      <c r="B309" s="9" t="s">
        <v>939</v>
      </c>
      <c r="C309" s="9" t="s">
        <v>816</v>
      </c>
      <c r="D309" s="9" t="s">
        <v>940</v>
      </c>
      <c r="E309" s="14" t="n">
        <v>325</v>
      </c>
      <c r="F309" s="14" t="n">
        <v>294</v>
      </c>
      <c r="G309" s="14" t="n">
        <v>261</v>
      </c>
      <c r="H309" s="14" t="n">
        <v>199</v>
      </c>
      <c r="I309" s="14"/>
      <c r="J309" s="14"/>
      <c r="K309" s="9" t="s">
        <v>941</v>
      </c>
      <c r="L309" s="9" t="s">
        <v>29</v>
      </c>
      <c r="M309" s="9" t="s">
        <v>160</v>
      </c>
      <c r="N309" s="9" t="s">
        <v>936</v>
      </c>
    </row>
    <row r="310" customFormat="false" ht="38" hidden="false" customHeight="true" outlineLevel="0" collapsed="false">
      <c r="A310" s="9" t="s">
        <v>153</v>
      </c>
      <c r="B310" s="9" t="s">
        <v>939</v>
      </c>
      <c r="C310" s="9" t="s">
        <v>942</v>
      </c>
      <c r="D310" s="9" t="s">
        <v>943</v>
      </c>
      <c r="E310" s="14" t="n">
        <v>513</v>
      </c>
      <c r="F310" s="14" t="n">
        <v>463</v>
      </c>
      <c r="G310" s="14" t="n">
        <v>411</v>
      </c>
      <c r="H310" s="14" t="n">
        <v>308</v>
      </c>
      <c r="I310" s="14"/>
      <c r="J310" s="14"/>
      <c r="K310" s="9" t="s">
        <v>944</v>
      </c>
      <c r="L310" s="9" t="s">
        <v>29</v>
      </c>
      <c r="M310" s="9" t="s">
        <v>160</v>
      </c>
      <c r="N310" s="9" t="s">
        <v>945</v>
      </c>
    </row>
    <row r="311" customFormat="false" ht="38" hidden="false" customHeight="true" outlineLevel="0" collapsed="false">
      <c r="A311" s="9" t="s">
        <v>153</v>
      </c>
      <c r="B311" s="9" t="s">
        <v>946</v>
      </c>
      <c r="C311" s="9" t="s">
        <v>947</v>
      </c>
      <c r="D311" s="9" t="s">
        <v>940</v>
      </c>
      <c r="E311" s="14" t="n">
        <v>39.5</v>
      </c>
      <c r="F311" s="14" t="n">
        <v>35.5</v>
      </c>
      <c r="G311" s="14" t="n">
        <v>31</v>
      </c>
      <c r="H311" s="14" t="n">
        <v>22.5</v>
      </c>
      <c r="I311" s="14"/>
      <c r="J311" s="14"/>
      <c r="K311" s="9" t="s">
        <v>948</v>
      </c>
      <c r="L311" s="9" t="s">
        <v>29</v>
      </c>
      <c r="M311" s="9" t="s">
        <v>160</v>
      </c>
      <c r="N311" s="9" t="s">
        <v>936</v>
      </c>
    </row>
    <row r="312" customFormat="false" ht="38" hidden="false" customHeight="true" outlineLevel="0" collapsed="false">
      <c r="A312" s="9" t="s">
        <v>425</v>
      </c>
      <c r="B312" s="9" t="s">
        <v>618</v>
      </c>
      <c r="C312" s="9" t="s">
        <v>429</v>
      </c>
      <c r="D312" s="9" t="s">
        <v>430</v>
      </c>
      <c r="E312" s="14" t="n">
        <v>9.5</v>
      </c>
      <c r="F312" s="14" t="n">
        <v>7.5</v>
      </c>
      <c r="G312" s="14" t="n">
        <v>7.5</v>
      </c>
      <c r="H312" s="14" t="n">
        <v>6.5</v>
      </c>
      <c r="I312" s="14"/>
      <c r="J312" s="14"/>
      <c r="K312" s="9" t="s">
        <v>949</v>
      </c>
      <c r="L312" s="9" t="s">
        <v>29</v>
      </c>
      <c r="M312" s="9" t="s">
        <v>431</v>
      </c>
      <c r="N312" s="9" t="s">
        <v>950</v>
      </c>
    </row>
    <row r="313" customFormat="false" ht="38" hidden="false" customHeight="true" outlineLevel="0" collapsed="false">
      <c r="A313" s="9" t="s">
        <v>425</v>
      </c>
      <c r="B313" s="9" t="s">
        <v>618</v>
      </c>
      <c r="C313" s="9" t="s">
        <v>951</v>
      </c>
      <c r="D313" s="9" t="s">
        <v>430</v>
      </c>
      <c r="E313" s="14" t="n">
        <v>6.5</v>
      </c>
      <c r="F313" s="14" t="n">
        <v>6</v>
      </c>
      <c r="G313" s="14" t="n">
        <v>6</v>
      </c>
      <c r="H313" s="14" t="n">
        <v>5.5</v>
      </c>
      <c r="I313" s="14"/>
      <c r="J313" s="14"/>
      <c r="K313" s="9" t="s">
        <v>952</v>
      </c>
      <c r="L313" s="9" t="s">
        <v>29</v>
      </c>
      <c r="M313" s="9" t="s">
        <v>431</v>
      </c>
      <c r="N313" s="9" t="s">
        <v>950</v>
      </c>
    </row>
    <row r="314" customFormat="false" ht="38" hidden="false" customHeight="true" outlineLevel="0" collapsed="false">
      <c r="A314" s="9" t="s">
        <v>425</v>
      </c>
      <c r="B314" s="9" t="s">
        <v>618</v>
      </c>
      <c r="C314" s="9" t="s">
        <v>953</v>
      </c>
      <c r="D314" s="9" t="s">
        <v>430</v>
      </c>
      <c r="E314" s="14" t="n">
        <v>13</v>
      </c>
      <c r="F314" s="14" t="n">
        <v>11</v>
      </c>
      <c r="G314" s="14" t="n">
        <v>11</v>
      </c>
      <c r="H314" s="14" t="n">
        <v>9</v>
      </c>
      <c r="I314" s="14"/>
      <c r="J314" s="14" t="n">
        <v>28</v>
      </c>
      <c r="K314" s="9" t="s">
        <v>954</v>
      </c>
      <c r="L314" s="9" t="s">
        <v>29</v>
      </c>
      <c r="M314" s="9" t="s">
        <v>431</v>
      </c>
      <c r="N314" s="9" t="s">
        <v>950</v>
      </c>
    </row>
    <row r="315" customFormat="false" ht="38" hidden="false" customHeight="true" outlineLevel="0" collapsed="false">
      <c r="A315" s="9" t="s">
        <v>425</v>
      </c>
      <c r="B315" s="9" t="s">
        <v>618</v>
      </c>
      <c r="C315" s="9" t="s">
        <v>955</v>
      </c>
      <c r="D315" s="9" t="s">
        <v>430</v>
      </c>
      <c r="E315" s="14" t="n">
        <v>28</v>
      </c>
      <c r="F315" s="14"/>
      <c r="G315" s="14"/>
      <c r="H315" s="14"/>
      <c r="I315" s="14"/>
      <c r="J315" s="14" t="n">
        <v>28</v>
      </c>
      <c r="K315" s="9" t="s">
        <v>956</v>
      </c>
      <c r="L315" s="9" t="s">
        <v>29</v>
      </c>
      <c r="M315" s="9" t="s">
        <v>431</v>
      </c>
      <c r="N315" s="9" t="s">
        <v>950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4" min="3" style="0" width="56"/>
    <col collapsed="false" customWidth="true" hidden="false" outlineLevel="0" max="5" min="5" style="0" width="52"/>
    <col collapsed="false" customWidth="true" hidden="false" outlineLevel="0" max="6" min="6" style="0" width="42"/>
    <col collapsed="false" customWidth="true" hidden="false" outlineLevel="0" max="7" min="7" style="0" width="14"/>
  </cols>
  <sheetData>
    <row r="1" customFormat="false" ht="32" hidden="false" customHeight="true" outlineLevel="0" collapsed="false">
      <c r="A1" s="1" t="s">
        <v>957</v>
      </c>
      <c r="B1" s="1"/>
      <c r="C1" s="1"/>
      <c r="D1" s="1"/>
      <c r="E1" s="1"/>
      <c r="F1" s="1"/>
      <c r="G1" s="1"/>
    </row>
    <row r="2" customFormat="false" ht="34" hidden="false" customHeight="true" outlineLevel="0" collapsed="false">
      <c r="A2" s="2" t="s">
        <v>958</v>
      </c>
      <c r="B2" s="2"/>
      <c r="C2" s="2"/>
      <c r="D2" s="2"/>
      <c r="E2" s="2"/>
      <c r="F2" s="2"/>
      <c r="G2" s="2"/>
    </row>
    <row r="3" customFormat="false" ht="34" hidden="false" customHeight="true" outlineLevel="0" collapsed="false">
      <c r="A3" s="3" t="s">
        <v>959</v>
      </c>
      <c r="B3" s="3" t="s">
        <v>960</v>
      </c>
      <c r="C3" s="3" t="s">
        <v>961</v>
      </c>
      <c r="D3" s="3" t="s">
        <v>962</v>
      </c>
      <c r="E3" s="3" t="s">
        <v>963</v>
      </c>
      <c r="F3" s="3" t="s">
        <v>964</v>
      </c>
      <c r="G3" s="3" t="s">
        <v>12</v>
      </c>
    </row>
    <row r="4" customFormat="false" ht="42" hidden="false" customHeight="true" outlineLevel="0" collapsed="false">
      <c r="A4" s="5" t="s">
        <v>965</v>
      </c>
      <c r="B4" s="5" t="s">
        <v>966</v>
      </c>
      <c r="C4" s="5" t="s">
        <v>967</v>
      </c>
      <c r="D4" s="5" t="s">
        <v>968</v>
      </c>
      <c r="E4" s="5" t="s">
        <v>969</v>
      </c>
      <c r="F4" s="5" t="s">
        <v>970</v>
      </c>
      <c r="G4" s="7" t="s">
        <v>29</v>
      </c>
    </row>
    <row r="5" customFormat="false" ht="42" hidden="false" customHeight="true" outlineLevel="0" collapsed="false">
      <c r="A5" s="5" t="s">
        <v>971</v>
      </c>
      <c r="B5" s="5" t="s">
        <v>972</v>
      </c>
      <c r="C5" s="5" t="s">
        <v>973</v>
      </c>
      <c r="D5" s="5" t="s">
        <v>974</v>
      </c>
      <c r="E5" s="5" t="s">
        <v>969</v>
      </c>
      <c r="F5" s="5" t="s">
        <v>970</v>
      </c>
      <c r="G5" s="7" t="s">
        <v>29</v>
      </c>
    </row>
    <row r="6" customFormat="false" ht="42" hidden="false" customHeight="true" outlineLevel="0" collapsed="false">
      <c r="A6" s="5" t="s">
        <v>975</v>
      </c>
      <c r="B6" s="5" t="s">
        <v>976</v>
      </c>
      <c r="C6" s="5" t="s">
        <v>977</v>
      </c>
      <c r="D6" s="5" t="s">
        <v>974</v>
      </c>
      <c r="E6" s="5" t="s">
        <v>969</v>
      </c>
      <c r="F6" s="5" t="s">
        <v>970</v>
      </c>
      <c r="G6" s="7" t="s">
        <v>29</v>
      </c>
    </row>
    <row r="7" customFormat="false" ht="42" hidden="false" customHeight="true" outlineLevel="0" collapsed="false">
      <c r="A7" s="5" t="s">
        <v>978</v>
      </c>
      <c r="B7" s="5" t="s">
        <v>979</v>
      </c>
      <c r="C7" s="5" t="s">
        <v>980</v>
      </c>
      <c r="D7" s="5" t="s">
        <v>981</v>
      </c>
      <c r="E7" s="5" t="s">
        <v>982</v>
      </c>
      <c r="F7" s="5" t="s">
        <v>970</v>
      </c>
      <c r="G7" s="7" t="s">
        <v>29</v>
      </c>
    </row>
    <row r="8" customFormat="false" ht="42" hidden="false" customHeight="true" outlineLevel="0" collapsed="false">
      <c r="A8" s="5" t="s">
        <v>983</v>
      </c>
      <c r="B8" s="5" t="s">
        <v>984</v>
      </c>
      <c r="C8" s="5" t="s">
        <v>985</v>
      </c>
      <c r="D8" s="5" t="s">
        <v>986</v>
      </c>
      <c r="E8" s="5" t="s">
        <v>987</v>
      </c>
      <c r="F8" s="5" t="s">
        <v>970</v>
      </c>
      <c r="G8" s="7" t="s">
        <v>29</v>
      </c>
    </row>
    <row r="9" customFormat="false" ht="42" hidden="false" customHeight="true" outlineLevel="0" collapsed="false">
      <c r="A9" s="5" t="s">
        <v>988</v>
      </c>
      <c r="B9" s="5" t="s">
        <v>989</v>
      </c>
      <c r="C9" s="5" t="s">
        <v>990</v>
      </c>
      <c r="D9" s="5" t="s">
        <v>974</v>
      </c>
      <c r="E9" s="5" t="s">
        <v>991</v>
      </c>
      <c r="F9" s="5" t="s">
        <v>970</v>
      </c>
      <c r="G9" s="7" t="s">
        <v>29</v>
      </c>
    </row>
    <row r="10" customFormat="false" ht="42" hidden="false" customHeight="true" outlineLevel="0" collapsed="false">
      <c r="A10" s="5" t="s">
        <v>992</v>
      </c>
      <c r="B10" s="5" t="s">
        <v>993</v>
      </c>
      <c r="C10" s="5" t="s">
        <v>994</v>
      </c>
      <c r="D10" s="5" t="s">
        <v>995</v>
      </c>
      <c r="E10" s="5" t="s">
        <v>996</v>
      </c>
      <c r="F10" s="5" t="s">
        <v>970</v>
      </c>
      <c r="G10" s="7" t="s">
        <v>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8"/>
    <col collapsed="false" customWidth="true" hidden="false" outlineLevel="0" max="3" min="3" style="0" width="56"/>
    <col collapsed="false" customWidth="true" hidden="false" outlineLevel="0" max="4" min="4" style="0" width="48"/>
  </cols>
  <sheetData>
    <row r="1" customFormat="false" ht="32" hidden="false" customHeight="true" outlineLevel="0" collapsed="false">
      <c r="A1" s="1" t="s">
        <v>997</v>
      </c>
      <c r="B1" s="1"/>
      <c r="C1" s="1"/>
      <c r="D1" s="1"/>
    </row>
    <row r="2" customFormat="false" ht="34" hidden="false" customHeight="true" outlineLevel="0" collapsed="false">
      <c r="A2" s="2" t="s">
        <v>998</v>
      </c>
      <c r="B2" s="2"/>
      <c r="C2" s="2"/>
      <c r="D2" s="2"/>
    </row>
    <row r="3" customFormat="false" ht="32" hidden="false" customHeight="true" outlineLevel="0" collapsed="false">
      <c r="A3" s="11" t="s">
        <v>999</v>
      </c>
      <c r="B3" s="11" t="s">
        <v>1000</v>
      </c>
      <c r="C3" s="11" t="s">
        <v>1001</v>
      </c>
      <c r="D3" s="11" t="s">
        <v>1002</v>
      </c>
    </row>
    <row r="4" customFormat="false" ht="42" hidden="false" customHeight="true" outlineLevel="0" collapsed="false">
      <c r="A4" s="5" t="s">
        <v>1003</v>
      </c>
      <c r="B4" s="5" t="s">
        <v>1004</v>
      </c>
      <c r="C4" s="5" t="s">
        <v>1005</v>
      </c>
      <c r="D4" s="5" t="s">
        <v>1006</v>
      </c>
    </row>
    <row r="5" customFormat="false" ht="42" hidden="false" customHeight="true" outlineLevel="0" collapsed="false">
      <c r="A5" s="5" t="s">
        <v>1007</v>
      </c>
      <c r="B5" s="5" t="s">
        <v>1008</v>
      </c>
      <c r="C5" s="5" t="s">
        <v>538</v>
      </c>
      <c r="D5" s="5" t="s">
        <v>1009</v>
      </c>
    </row>
    <row r="6" customFormat="false" ht="42" hidden="false" customHeight="true" outlineLevel="0" collapsed="false">
      <c r="A6" s="5" t="s">
        <v>1010</v>
      </c>
      <c r="B6" s="5" t="s">
        <v>1011</v>
      </c>
      <c r="C6" s="5" t="s">
        <v>1012</v>
      </c>
      <c r="D6" s="5" t="s">
        <v>1013</v>
      </c>
    </row>
    <row r="7" customFormat="false" ht="42" hidden="false" customHeight="true" outlineLevel="0" collapsed="false">
      <c r="A7" s="5" t="s">
        <v>1014</v>
      </c>
      <c r="B7" s="5" t="s">
        <v>1015</v>
      </c>
      <c r="C7" s="5" t="s">
        <v>1016</v>
      </c>
      <c r="D7" s="5" t="s">
        <v>1017</v>
      </c>
    </row>
    <row r="8" customFormat="false" ht="42" hidden="false" customHeight="true" outlineLevel="0" collapsed="false">
      <c r="A8" s="5" t="s">
        <v>1018</v>
      </c>
      <c r="B8" s="5" t="s">
        <v>1019</v>
      </c>
      <c r="C8" s="5" t="s">
        <v>27</v>
      </c>
      <c r="D8" s="5" t="s">
        <v>1020</v>
      </c>
    </row>
    <row r="9" customFormat="false" ht="42" hidden="false" customHeight="true" outlineLevel="0" collapsed="false">
      <c r="A9" s="5" t="s">
        <v>1021</v>
      </c>
      <c r="B9" s="5" t="s">
        <v>1022</v>
      </c>
      <c r="C9" s="5" t="s">
        <v>1023</v>
      </c>
      <c r="D9" s="5" t="s">
        <v>1017</v>
      </c>
    </row>
    <row r="10" customFormat="false" ht="42" hidden="false" customHeight="true" outlineLevel="0" collapsed="false">
      <c r="A10" s="5" t="s">
        <v>1024</v>
      </c>
      <c r="B10" s="5" t="s">
        <v>1025</v>
      </c>
      <c r="C10" s="5" t="s">
        <v>1026</v>
      </c>
      <c r="D10" s="5" t="s">
        <v>1020</v>
      </c>
    </row>
    <row r="11" customFormat="false" ht="42" hidden="false" customHeight="true" outlineLevel="0" collapsed="false">
      <c r="A11" s="5" t="s">
        <v>1027</v>
      </c>
      <c r="B11" s="5" t="s">
        <v>1028</v>
      </c>
      <c r="C11" s="5" t="s">
        <v>257</v>
      </c>
      <c r="D11" s="5" t="s">
        <v>1020</v>
      </c>
    </row>
    <row r="12" customFormat="false" ht="42" hidden="false" customHeight="true" outlineLevel="0" collapsed="false">
      <c r="A12" s="5" t="s">
        <v>1029</v>
      </c>
      <c r="B12" s="5" t="s">
        <v>1030</v>
      </c>
      <c r="C12" s="5" t="s">
        <v>1031</v>
      </c>
      <c r="D12" s="5" t="s">
        <v>1020</v>
      </c>
    </row>
    <row r="13" customFormat="false" ht="42" hidden="false" customHeight="true" outlineLevel="0" collapsed="false">
      <c r="A13" s="5" t="s">
        <v>462</v>
      </c>
      <c r="B13" s="5" t="s">
        <v>1032</v>
      </c>
      <c r="C13" s="5" t="s">
        <v>470</v>
      </c>
      <c r="D13" s="5" t="s">
        <v>1033</v>
      </c>
    </row>
    <row r="14" customFormat="false" ht="42" hidden="false" customHeight="true" outlineLevel="0" collapsed="false">
      <c r="A14" s="5" t="s">
        <v>1034</v>
      </c>
      <c r="B14" s="5" t="s">
        <v>1035</v>
      </c>
      <c r="C14" s="5" t="s">
        <v>1036</v>
      </c>
      <c r="D14" s="5" t="s">
        <v>1037</v>
      </c>
    </row>
    <row r="15" customFormat="false" ht="42" hidden="false" customHeight="true" outlineLevel="0" collapsed="false">
      <c r="A15" s="5" t="s">
        <v>1038</v>
      </c>
      <c r="B15" s="5" t="s">
        <v>1039</v>
      </c>
      <c r="C15" s="5" t="s">
        <v>1040</v>
      </c>
      <c r="D15" s="5" t="s">
        <v>1041</v>
      </c>
    </row>
    <row r="16" customFormat="false" ht="42" hidden="false" customHeight="true" outlineLevel="0" collapsed="false">
      <c r="A16" s="5" t="s">
        <v>959</v>
      </c>
      <c r="B16" s="5" t="s">
        <v>1042</v>
      </c>
      <c r="C16" s="5" t="s">
        <v>970</v>
      </c>
      <c r="D16" s="5" t="s">
        <v>1043</v>
      </c>
    </row>
    <row r="17" customFormat="false" ht="42" hidden="false" customHeight="true" outlineLevel="0" collapsed="false">
      <c r="A17" s="5" t="s">
        <v>1044</v>
      </c>
      <c r="B17" s="5" t="s">
        <v>1045</v>
      </c>
      <c r="C17" s="5" t="s">
        <v>1046</v>
      </c>
      <c r="D17" s="5" t="s">
        <v>1047</v>
      </c>
    </row>
    <row r="18" customFormat="false" ht="42" hidden="false" customHeight="true" outlineLevel="0" collapsed="false">
      <c r="A18" s="5" t="s">
        <v>1048</v>
      </c>
      <c r="B18" s="5" t="s">
        <v>1049</v>
      </c>
      <c r="C18" s="5" t="s">
        <v>299</v>
      </c>
      <c r="D18" s="5" t="s">
        <v>1050</v>
      </c>
    </row>
    <row r="19" customFormat="false" ht="42" hidden="false" customHeight="true" outlineLevel="0" collapsed="false">
      <c r="A19" s="5" t="s">
        <v>1051</v>
      </c>
      <c r="B19" s="5" t="s">
        <v>1052</v>
      </c>
      <c r="C19" s="5" t="s">
        <v>411</v>
      </c>
      <c r="D19" s="5" t="s">
        <v>1009</v>
      </c>
    </row>
    <row r="20" customFormat="false" ht="42" hidden="false" customHeight="true" outlineLevel="0" collapsed="false">
      <c r="A20" s="5" t="s">
        <v>1053</v>
      </c>
      <c r="B20" s="5" t="s">
        <v>1054</v>
      </c>
      <c r="C20" s="5" t="s">
        <v>404</v>
      </c>
      <c r="D20" s="5" t="s">
        <v>1055</v>
      </c>
    </row>
    <row r="21" customFormat="false" ht="42" hidden="false" customHeight="true" outlineLevel="0" collapsed="false">
      <c r="A21" s="5" t="s">
        <v>415</v>
      </c>
      <c r="B21" s="5" t="s">
        <v>1056</v>
      </c>
      <c r="C21" s="5" t="s">
        <v>418</v>
      </c>
      <c r="D21" s="5" t="s">
        <v>1009</v>
      </c>
    </row>
    <row r="22" customFormat="false" ht="42" hidden="false" customHeight="true" outlineLevel="0" collapsed="false">
      <c r="A22" s="5" t="s">
        <v>439</v>
      </c>
      <c r="B22" s="5" t="s">
        <v>1057</v>
      </c>
      <c r="C22" s="5" t="s">
        <v>442</v>
      </c>
      <c r="D22" s="5" t="s">
        <v>1058</v>
      </c>
    </row>
    <row r="23" customFormat="false" ht="42" hidden="false" customHeight="true" outlineLevel="0" collapsed="false">
      <c r="A23" s="5" t="s">
        <v>189</v>
      </c>
      <c r="B23" s="5" t="s">
        <v>1059</v>
      </c>
      <c r="C23" s="5" t="s">
        <v>194</v>
      </c>
      <c r="D23" s="5" t="s">
        <v>1060</v>
      </c>
    </row>
    <row r="24" customFormat="false" ht="42" hidden="false" customHeight="true" outlineLevel="0" collapsed="false">
      <c r="A24" s="5" t="s">
        <v>1061</v>
      </c>
      <c r="B24" s="5" t="s">
        <v>1062</v>
      </c>
      <c r="C24" s="5" t="s">
        <v>125</v>
      </c>
      <c r="D24" s="5" t="s">
        <v>1063</v>
      </c>
    </row>
    <row r="25" customFormat="false" ht="42" hidden="false" customHeight="true" outlineLevel="0" collapsed="false">
      <c r="A25" s="5" t="s">
        <v>54</v>
      </c>
      <c r="B25" s="5" t="s">
        <v>1064</v>
      </c>
      <c r="C25" s="5" t="s">
        <v>57</v>
      </c>
      <c r="D25" s="5" t="s">
        <v>1065</v>
      </c>
    </row>
    <row r="26" customFormat="false" ht="42" hidden="false" customHeight="true" outlineLevel="0" collapsed="false">
      <c r="A26" s="5" t="s">
        <v>1066</v>
      </c>
      <c r="B26" s="5" t="s">
        <v>1067</v>
      </c>
      <c r="C26" s="5" t="s">
        <v>233</v>
      </c>
      <c r="D26" s="5" t="s">
        <v>1068</v>
      </c>
    </row>
    <row r="27" customFormat="false" ht="39" hidden="false" customHeight="true" outlineLevel="0" collapsed="false">
      <c r="A27" s="9" t="s">
        <v>1069</v>
      </c>
      <c r="B27" s="9" t="s">
        <v>1070</v>
      </c>
      <c r="C27" s="9" t="s">
        <v>34</v>
      </c>
      <c r="D27" s="9" t="s">
        <v>1071</v>
      </c>
    </row>
    <row r="28" customFormat="false" ht="39" hidden="false" customHeight="true" outlineLevel="0" collapsed="false">
      <c r="A28" s="9" t="s">
        <v>1072</v>
      </c>
      <c r="B28" s="9" t="s">
        <v>1073</v>
      </c>
      <c r="C28" s="9" t="s">
        <v>307</v>
      </c>
      <c r="D28" s="9" t="s">
        <v>1074</v>
      </c>
    </row>
    <row r="29" customFormat="false" ht="39" hidden="false" customHeight="true" outlineLevel="0" collapsed="false">
      <c r="A29" s="9" t="s">
        <v>1075</v>
      </c>
      <c r="B29" s="9" t="s">
        <v>1076</v>
      </c>
      <c r="C29" s="9" t="s">
        <v>386</v>
      </c>
      <c r="D29" s="9" t="s">
        <v>1077</v>
      </c>
    </row>
    <row r="30" customFormat="false" ht="39" hidden="false" customHeight="true" outlineLevel="0" collapsed="false">
      <c r="A30" s="9" t="s">
        <v>1078</v>
      </c>
      <c r="B30" s="9" t="s">
        <v>1079</v>
      </c>
      <c r="C30" s="9" t="s">
        <v>473</v>
      </c>
      <c r="D30" s="9" t="s">
        <v>1080</v>
      </c>
    </row>
    <row r="31" customFormat="false" ht="39" hidden="false" customHeight="true" outlineLevel="0" collapsed="false">
      <c r="A31" s="9" t="s">
        <v>1081</v>
      </c>
      <c r="B31" s="9" t="s">
        <v>1082</v>
      </c>
      <c r="C31" s="9" t="s">
        <v>492</v>
      </c>
      <c r="D31" s="9" t="s">
        <v>1083</v>
      </c>
    </row>
    <row r="32" customFormat="false" ht="39" hidden="false" customHeight="true" outlineLevel="0" collapsed="false">
      <c r="A32" s="9" t="s">
        <v>1084</v>
      </c>
      <c r="B32" s="9" t="s">
        <v>1085</v>
      </c>
      <c r="C32" s="9" t="s">
        <v>496</v>
      </c>
      <c r="D32" s="9" t="s">
        <v>1086</v>
      </c>
    </row>
    <row r="33" customFormat="false" ht="39" hidden="false" customHeight="true" outlineLevel="0" collapsed="false">
      <c r="A33" s="9" t="s">
        <v>1087</v>
      </c>
      <c r="B33" s="9" t="s">
        <v>1088</v>
      </c>
      <c r="C33" s="9" t="s">
        <v>180</v>
      </c>
      <c r="D33" s="9" t="s">
        <v>1089</v>
      </c>
    </row>
    <row r="34" customFormat="false" ht="39" hidden="false" customHeight="true" outlineLevel="0" collapsed="false">
      <c r="A34" s="9" t="s">
        <v>1090</v>
      </c>
      <c r="B34" s="9" t="s">
        <v>1091</v>
      </c>
      <c r="C34" s="9" t="s">
        <v>675</v>
      </c>
      <c r="D34" s="9" t="s">
        <v>1092</v>
      </c>
    </row>
    <row r="35" customFormat="false" ht="39" hidden="false" customHeight="true" outlineLevel="0" collapsed="false">
      <c r="A35" s="9" t="s">
        <v>1093</v>
      </c>
      <c r="B35" s="9" t="s">
        <v>1094</v>
      </c>
      <c r="C35" s="9" t="s">
        <v>479</v>
      </c>
      <c r="D35" s="9" t="s">
        <v>1095</v>
      </c>
    </row>
    <row r="36" customFormat="false" ht="39" hidden="false" customHeight="true" outlineLevel="0" collapsed="false">
      <c r="A36" s="9" t="s">
        <v>1096</v>
      </c>
      <c r="B36" s="9" t="s">
        <v>1097</v>
      </c>
      <c r="C36" s="9" t="s">
        <v>160</v>
      </c>
      <c r="D36" s="9" t="s">
        <v>1098</v>
      </c>
    </row>
    <row r="37" customFormat="false" ht="39" hidden="false" customHeight="true" outlineLevel="0" collapsed="false">
      <c r="A37" s="9" t="s">
        <v>1099</v>
      </c>
      <c r="B37" s="9" t="s">
        <v>1100</v>
      </c>
      <c r="C37" s="9" t="s">
        <v>431</v>
      </c>
      <c r="D37" s="9" t="s">
        <v>1101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23"/>
    <col collapsed="false" customWidth="true" hidden="false" outlineLevel="0" max="8" min="6" style="0" width="17"/>
  </cols>
  <sheetData>
    <row r="1" customFormat="false" ht="38" hidden="false" customHeight="true" outlineLevel="0" collapsed="false">
      <c r="A1" s="15" t="s">
        <v>1102</v>
      </c>
      <c r="B1" s="15"/>
      <c r="C1" s="15"/>
      <c r="D1" s="15"/>
      <c r="E1" s="15"/>
      <c r="F1" s="15"/>
      <c r="G1" s="15"/>
      <c r="H1" s="15"/>
    </row>
    <row r="2" customFormat="false" ht="30" hidden="false" customHeight="true" outlineLevel="0" collapsed="false">
      <c r="A2" s="2" t="s">
        <v>1103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16" t="s">
        <v>1104</v>
      </c>
      <c r="B4" s="16" t="s">
        <v>1105</v>
      </c>
      <c r="D4" s="17" t="s">
        <v>1106</v>
      </c>
      <c r="E4" s="17"/>
      <c r="F4" s="17"/>
      <c r="G4" s="17"/>
      <c r="H4" s="17"/>
    </row>
    <row r="5" customFormat="false" ht="48" hidden="false" customHeight="true" outlineLevel="0" collapsed="false">
      <c r="A5" s="18" t="s">
        <v>1107</v>
      </c>
      <c r="B5" s="19" t="n">
        <f aca="false">COUNTA(Partnerliste!B4:B78)</f>
        <v>75</v>
      </c>
      <c r="D5" s="20" t="s">
        <v>1108</v>
      </c>
      <c r="E5" s="21" t="s">
        <v>1109</v>
      </c>
      <c r="F5" s="21"/>
      <c r="G5" s="21"/>
      <c r="H5" s="21"/>
    </row>
    <row r="6" customFormat="false" ht="48" hidden="false" customHeight="true" outlineLevel="0" collapsed="false">
      <c r="A6" s="18" t="s">
        <v>1110</v>
      </c>
      <c r="B6" s="19" t="n">
        <f aca="false">COUNTIF(Partnerliste!A4:A78,"Skigebiet / Lift")</f>
        <v>32</v>
      </c>
      <c r="D6" s="20" t="s">
        <v>1111</v>
      </c>
      <c r="E6" s="21" t="s">
        <v>1112</v>
      </c>
      <c r="F6" s="21"/>
      <c r="G6" s="21"/>
      <c r="H6" s="21"/>
    </row>
    <row r="7" customFormat="false" ht="48" hidden="false" customHeight="true" outlineLevel="0" collapsed="false">
      <c r="A7" s="18" t="s">
        <v>1113</v>
      </c>
      <c r="B7" s="19" t="n">
        <f aca="false">COUNTIF(Partnerliste!A4:A78,"Sommerfreibad")+COUNTIF(Partnerliste!A4:A78,"Badesee")+COUNTIF(Partnerliste!A4:A78,"Badesee / Freizeitsee")+COUNTIF(Partnerliste!A4:A78,"Hallenbad")+COUNTIF(Partnerliste!A4:A78,"Badeanlage")+COUNTIF(Partnerliste!A4:A78,"Hallen- und Freibad")</f>
        <v>18</v>
      </c>
      <c r="D7" s="20" t="s">
        <v>1114</v>
      </c>
      <c r="E7" s="21" t="s">
        <v>1115</v>
      </c>
      <c r="F7" s="21"/>
      <c r="G7" s="21"/>
      <c r="H7" s="21"/>
    </row>
    <row r="8" customFormat="false" ht="48" hidden="false" customHeight="true" outlineLevel="0" collapsed="false">
      <c r="A8" s="18" t="s">
        <v>1116</v>
      </c>
      <c r="B8" s="19" t="n">
        <f aca="false">COUNTIF(Partnerliste!A4:A78,"Kultur / Museum / Erlebnis")</f>
        <v>12</v>
      </c>
      <c r="D8" s="20" t="s">
        <v>959</v>
      </c>
      <c r="E8" s="21" t="s">
        <v>1117</v>
      </c>
      <c r="F8" s="21"/>
      <c r="G8" s="21"/>
      <c r="H8" s="21"/>
    </row>
    <row r="9" customFormat="false" ht="48" hidden="false" customHeight="true" outlineLevel="0" collapsed="false">
      <c r="A9" s="18" t="s">
        <v>1118</v>
      </c>
      <c r="B9" s="19" t="n">
        <f aca="false">COUNTIF(Partnerliste!A4:A78,"Eislaufen")</f>
        <v>12</v>
      </c>
      <c r="D9" s="20" t="s">
        <v>1119</v>
      </c>
      <c r="E9" s="21" t="s">
        <v>1120</v>
      </c>
      <c r="F9" s="21"/>
      <c r="G9" s="21"/>
      <c r="H9" s="21"/>
    </row>
    <row r="10" customFormat="false" ht="28" hidden="false" customHeight="true" outlineLevel="0" collapsed="false">
      <c r="A10" s="18" t="s">
        <v>1121</v>
      </c>
      <c r="B10" s="19" t="n">
        <v>312</v>
      </c>
    </row>
    <row r="13" customFormat="false" ht="26" hidden="false" customHeight="true" outlineLevel="0" collapsed="false">
      <c r="A13" s="22" t="s">
        <v>1122</v>
      </c>
      <c r="B13" s="22"/>
      <c r="C13" s="22"/>
      <c r="D13" s="22"/>
      <c r="E13" s="22"/>
      <c r="F13" s="22"/>
      <c r="G13" s="22"/>
      <c r="H13" s="22"/>
    </row>
    <row r="14" customFormat="false" ht="46" hidden="false" customHeight="true" outlineLevel="0" collapsed="false">
      <c r="A14" s="20" t="s">
        <v>1123</v>
      </c>
      <c r="B14" s="21" t="s">
        <v>1124</v>
      </c>
      <c r="C14" s="21"/>
      <c r="D14" s="21"/>
      <c r="E14" s="21"/>
      <c r="F14" s="21"/>
      <c r="G14" s="21"/>
      <c r="H14" s="21"/>
    </row>
    <row r="15" customFormat="false" ht="46" hidden="false" customHeight="true" outlineLevel="0" collapsed="false">
      <c r="A15" s="20" t="s">
        <v>5</v>
      </c>
      <c r="B15" s="21" t="s">
        <v>1125</v>
      </c>
      <c r="C15" s="21"/>
      <c r="D15" s="21"/>
      <c r="E15" s="21"/>
      <c r="F15" s="21"/>
      <c r="G15" s="21"/>
      <c r="H15" s="21"/>
    </row>
    <row r="16" customFormat="false" ht="46" hidden="false" customHeight="true" outlineLevel="0" collapsed="false">
      <c r="A16" s="20" t="s">
        <v>1126</v>
      </c>
      <c r="B16" s="21" t="s">
        <v>1127</v>
      </c>
      <c r="C16" s="21"/>
      <c r="D16" s="21" t="s">
        <v>1128</v>
      </c>
      <c r="E16" s="21" t="s">
        <v>1129</v>
      </c>
      <c r="F16" s="21"/>
      <c r="G16" s="21"/>
      <c r="H16" s="21"/>
    </row>
    <row r="17" customFormat="false" ht="46" hidden="false" customHeight="true" outlineLevel="0" collapsed="false">
      <c r="A17" s="20" t="s">
        <v>1128</v>
      </c>
      <c r="B17" s="21" t="s">
        <v>1130</v>
      </c>
      <c r="C17" s="21"/>
      <c r="D17" s="21"/>
      <c r="E17" s="21"/>
      <c r="F17" s="21"/>
      <c r="G17" s="21"/>
      <c r="H17" s="21"/>
    </row>
    <row r="18" customFormat="false" ht="46" hidden="false" customHeight="true" outlineLevel="0" collapsed="false">
      <c r="A18" s="20" t="s">
        <v>1131</v>
      </c>
      <c r="B18" s="21" t="s">
        <v>1132</v>
      </c>
      <c r="C18" s="21"/>
      <c r="D18" s="21"/>
      <c r="E18" s="21"/>
      <c r="F18" s="21"/>
      <c r="G18" s="21"/>
      <c r="H18" s="21"/>
    </row>
    <row r="21" customFormat="false" ht="26" hidden="false" customHeight="true" outlineLevel="0" collapsed="false">
      <c r="A21" s="22" t="s">
        <v>1133</v>
      </c>
      <c r="B21" s="22"/>
      <c r="C21" s="22"/>
      <c r="D21" s="22"/>
      <c r="E21" s="22"/>
      <c r="F21" s="22"/>
      <c r="G21" s="22"/>
      <c r="H21" s="22"/>
    </row>
    <row r="22" customFormat="false" ht="25" hidden="false" customHeight="true" outlineLevel="0" collapsed="false">
      <c r="A22" s="23" t="s">
        <v>1134</v>
      </c>
      <c r="B22" s="24" t="s">
        <v>538</v>
      </c>
      <c r="C22" s="24"/>
      <c r="D22" s="24"/>
      <c r="E22" s="24"/>
      <c r="F22" s="24"/>
      <c r="G22" s="24"/>
      <c r="H22" s="24"/>
    </row>
    <row r="23" customFormat="false" ht="25" hidden="false" customHeight="true" outlineLevel="0" collapsed="false">
      <c r="A23" s="23" t="s">
        <v>1135</v>
      </c>
      <c r="B23" s="24" t="s">
        <v>1012</v>
      </c>
      <c r="C23" s="24"/>
      <c r="D23" s="24"/>
      <c r="E23" s="24"/>
      <c r="F23" s="24"/>
      <c r="G23" s="24"/>
      <c r="H23" s="24"/>
    </row>
    <row r="24" customFormat="false" ht="25" hidden="false" customHeight="true" outlineLevel="0" collapsed="false">
      <c r="A24" s="23" t="s">
        <v>1136</v>
      </c>
      <c r="B24" s="24" t="s">
        <v>1016</v>
      </c>
      <c r="C24" s="24"/>
      <c r="D24" s="24"/>
      <c r="E24" s="24"/>
      <c r="F24" s="24"/>
      <c r="G24" s="24"/>
      <c r="H24" s="24"/>
    </row>
    <row r="25" customFormat="false" ht="25" hidden="false" customHeight="true" outlineLevel="0" collapsed="false">
      <c r="A25" s="23" t="s">
        <v>1137</v>
      </c>
      <c r="B25" s="24" t="s">
        <v>1023</v>
      </c>
      <c r="C25" s="24"/>
      <c r="D25" s="24"/>
      <c r="E25" s="24"/>
      <c r="F25" s="24"/>
      <c r="G25" s="24"/>
      <c r="H25" s="24"/>
    </row>
    <row r="26" customFormat="false" ht="25" hidden="false" customHeight="true" outlineLevel="0" collapsed="false">
      <c r="A26" s="23" t="s">
        <v>1138</v>
      </c>
      <c r="B26" s="24" t="s">
        <v>257</v>
      </c>
      <c r="C26" s="24"/>
      <c r="D26" s="24"/>
      <c r="E26" s="24"/>
      <c r="F26" s="24"/>
      <c r="G26" s="24"/>
      <c r="H26" s="24"/>
    </row>
    <row r="27" customFormat="false" ht="25" hidden="false" customHeight="true" outlineLevel="0" collapsed="false">
      <c r="A27" s="23" t="s">
        <v>462</v>
      </c>
      <c r="B27" s="24" t="s">
        <v>470</v>
      </c>
      <c r="C27" s="24"/>
      <c r="D27" s="24"/>
      <c r="E27" s="24"/>
      <c r="F27" s="24"/>
      <c r="G27" s="24"/>
      <c r="H27" s="24"/>
    </row>
  </sheetData>
  <mergeCells count="21">
    <mergeCell ref="A1:H1"/>
    <mergeCell ref="A2:H2"/>
    <mergeCell ref="D4:H4"/>
    <mergeCell ref="E5:H5"/>
    <mergeCell ref="E6:H6"/>
    <mergeCell ref="E7:H7"/>
    <mergeCell ref="E8:H8"/>
    <mergeCell ref="E9:H9"/>
    <mergeCell ref="A13:H13"/>
    <mergeCell ref="B14:H14"/>
    <mergeCell ref="B15:H15"/>
    <mergeCell ref="B16:H16"/>
    <mergeCell ref="B17:H17"/>
    <mergeCell ref="B18:H18"/>
    <mergeCell ref="A21:H21"/>
    <mergeCell ref="B22:H22"/>
    <mergeCell ref="B23:H23"/>
    <mergeCell ref="B24:H24"/>
    <mergeCell ref="B25:H25"/>
    <mergeCell ref="B26:H26"/>
    <mergeCell ref="B27:H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1"/>
    <col collapsed="false" customWidth="true" hidden="false" outlineLevel="0" max="3" min="3" style="0" width="25"/>
    <col collapsed="false" customWidth="true" hidden="false" outlineLevel="0" max="4" min="4" style="0" width="28"/>
    <col collapsed="false" customWidth="true" hidden="false" outlineLevel="0" max="5" min="5" style="0" width="37"/>
    <col collapsed="false" customWidth="true" hidden="false" outlineLevel="0" max="6" min="6" style="0" width="32"/>
    <col collapsed="false" customWidth="true" hidden="false" outlineLevel="0" max="8" min="7" style="0" width="52"/>
    <col collapsed="false" customWidth="true" hidden="false" outlineLevel="0" max="9" min="9" style="0" width="54"/>
    <col collapsed="false" customWidth="true" hidden="false" outlineLevel="0" max="10" min="10" style="0" width="55"/>
  </cols>
  <sheetData>
    <row r="1" customFormat="false" ht="32" hidden="false" customHeight="true" outlineLevel="0" collapsed="false">
      <c r="A1" s="25" t="s">
        <v>1139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38" hidden="false" customHeight="true" outlineLevel="0" collapsed="false">
      <c r="A2" s="26" t="s">
        <v>1140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36" hidden="false" customHeight="true" outlineLevel="0" collapsed="false">
      <c r="A3" s="27" t="s">
        <v>2</v>
      </c>
      <c r="B3" s="27" t="s">
        <v>3</v>
      </c>
      <c r="C3" s="27" t="s">
        <v>1141</v>
      </c>
      <c r="D3" s="27" t="s">
        <v>1142</v>
      </c>
      <c r="E3" s="27" t="s">
        <v>15</v>
      </c>
      <c r="F3" s="27" t="s">
        <v>16</v>
      </c>
      <c r="G3" s="27" t="s">
        <v>1143</v>
      </c>
      <c r="H3" s="27" t="s">
        <v>1144</v>
      </c>
      <c r="I3" s="27" t="s">
        <v>1145</v>
      </c>
      <c r="J3" s="27" t="s">
        <v>1146</v>
      </c>
    </row>
    <row r="4" customFormat="false" ht="52" hidden="false" customHeight="true" outlineLevel="0" collapsed="false">
      <c r="A4" s="9" t="s">
        <v>19</v>
      </c>
      <c r="B4" s="9" t="s">
        <v>20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24</v>
      </c>
      <c r="H4" s="9" t="s">
        <v>25</v>
      </c>
      <c r="I4" s="9" t="s">
        <v>34</v>
      </c>
      <c r="J4" s="9" t="s">
        <v>35</v>
      </c>
    </row>
    <row r="5" customFormat="false" ht="52" hidden="false" customHeight="true" outlineLevel="0" collapsed="false">
      <c r="A5" s="9" t="s">
        <v>19</v>
      </c>
      <c r="B5" s="9" t="s">
        <v>36</v>
      </c>
      <c r="C5" s="9" t="s">
        <v>40</v>
      </c>
      <c r="D5" s="9" t="s">
        <v>41</v>
      </c>
      <c r="E5" s="9" t="s">
        <v>42</v>
      </c>
      <c r="F5" s="9" t="s">
        <v>43</v>
      </c>
      <c r="G5" s="9" t="s">
        <v>24</v>
      </c>
      <c r="H5" s="9" t="s">
        <v>38</v>
      </c>
      <c r="I5" s="9" t="s">
        <v>44</v>
      </c>
      <c r="J5" s="9" t="s">
        <v>45</v>
      </c>
    </row>
    <row r="6" customFormat="false" ht="52" hidden="false" customHeight="true" outlineLevel="0" collapsed="false">
      <c r="A6" s="9" t="s">
        <v>19</v>
      </c>
      <c r="B6" s="9" t="s">
        <v>46</v>
      </c>
      <c r="C6" s="9" t="s">
        <v>49</v>
      </c>
      <c r="D6" s="9" t="s">
        <v>50</v>
      </c>
      <c r="E6" s="9" t="s">
        <v>32</v>
      </c>
      <c r="F6" s="9" t="s">
        <v>51</v>
      </c>
      <c r="G6" s="9" t="s">
        <v>24</v>
      </c>
      <c r="H6" s="9" t="s">
        <v>38</v>
      </c>
      <c r="I6" s="9" t="s">
        <v>52</v>
      </c>
      <c r="J6" s="9" t="s">
        <v>53</v>
      </c>
    </row>
    <row r="7" customFormat="false" ht="52" hidden="false" customHeight="true" outlineLevel="0" collapsed="false">
      <c r="A7" s="9" t="s">
        <v>19</v>
      </c>
      <c r="B7" s="9" t="s">
        <v>54</v>
      </c>
      <c r="C7" s="9" t="s">
        <v>58</v>
      </c>
      <c r="D7" s="9" t="s">
        <v>59</v>
      </c>
      <c r="E7" s="9" t="s">
        <v>60</v>
      </c>
      <c r="F7" s="9" t="s">
        <v>61</v>
      </c>
      <c r="G7" s="9" t="s">
        <v>24</v>
      </c>
      <c r="H7" s="9" t="s">
        <v>25</v>
      </c>
      <c r="I7" s="9" t="s">
        <v>62</v>
      </c>
      <c r="J7" s="9" t="s">
        <v>63</v>
      </c>
    </row>
    <row r="8" customFormat="false" ht="52" hidden="false" customHeight="true" outlineLevel="0" collapsed="false">
      <c r="A8" s="9" t="s">
        <v>19</v>
      </c>
      <c r="B8" s="9" t="s">
        <v>64</v>
      </c>
      <c r="C8" s="9" t="s">
        <v>67</v>
      </c>
      <c r="D8" s="9" t="s">
        <v>68</v>
      </c>
      <c r="E8" s="9" t="s">
        <v>69</v>
      </c>
      <c r="F8" s="9" t="s">
        <v>51</v>
      </c>
      <c r="G8" s="9" t="s">
        <v>24</v>
      </c>
      <c r="H8" s="9" t="s">
        <v>25</v>
      </c>
      <c r="I8" s="9" t="s">
        <v>70</v>
      </c>
      <c r="J8" s="9" t="s">
        <v>71</v>
      </c>
    </row>
    <row r="9" customFormat="false" ht="52" hidden="false" customHeight="true" outlineLevel="0" collapsed="false">
      <c r="A9" s="9" t="s">
        <v>19</v>
      </c>
      <c r="B9" s="9" t="s">
        <v>72</v>
      </c>
      <c r="C9" s="9" t="s">
        <v>75</v>
      </c>
      <c r="D9" s="9" t="s">
        <v>76</v>
      </c>
      <c r="E9" s="9" t="s">
        <v>32</v>
      </c>
      <c r="F9" s="9" t="s">
        <v>77</v>
      </c>
      <c r="G9" s="9" t="s">
        <v>24</v>
      </c>
      <c r="H9" s="9" t="s">
        <v>38</v>
      </c>
      <c r="I9" s="9" t="s">
        <v>78</v>
      </c>
      <c r="J9" s="9" t="s">
        <v>79</v>
      </c>
    </row>
    <row r="10" customFormat="false" ht="52" hidden="false" customHeight="true" outlineLevel="0" collapsed="false">
      <c r="A10" s="9" t="s">
        <v>19</v>
      </c>
      <c r="B10" s="9" t="s">
        <v>80</v>
      </c>
      <c r="C10" s="9" t="s">
        <v>84</v>
      </c>
      <c r="D10" s="9" t="s">
        <v>85</v>
      </c>
      <c r="E10" s="9" t="s">
        <v>32</v>
      </c>
      <c r="F10" s="9" t="s">
        <v>86</v>
      </c>
      <c r="G10" s="9" t="s">
        <v>24</v>
      </c>
      <c r="H10" s="9" t="s">
        <v>38</v>
      </c>
      <c r="I10" s="9" t="s">
        <v>87</v>
      </c>
      <c r="J10" s="9" t="s">
        <v>88</v>
      </c>
    </row>
    <row r="11" customFormat="false" ht="52" hidden="false" customHeight="true" outlineLevel="0" collapsed="false">
      <c r="A11" s="9" t="s">
        <v>19</v>
      </c>
      <c r="B11" s="9" t="s">
        <v>89</v>
      </c>
      <c r="C11" s="9" t="s">
        <v>93</v>
      </c>
      <c r="D11" s="9" t="s">
        <v>94</v>
      </c>
      <c r="E11" s="9" t="s">
        <v>32</v>
      </c>
      <c r="F11" s="9" t="s">
        <v>95</v>
      </c>
      <c r="G11" s="9" t="s">
        <v>24</v>
      </c>
      <c r="H11" s="9" t="s">
        <v>38</v>
      </c>
      <c r="I11" s="9" t="s">
        <v>96</v>
      </c>
      <c r="J11" s="9" t="s">
        <v>97</v>
      </c>
    </row>
    <row r="12" customFormat="false" ht="52" hidden="false" customHeight="true" outlineLevel="0" collapsed="false">
      <c r="A12" s="9" t="s">
        <v>19</v>
      </c>
      <c r="B12" s="9" t="s">
        <v>98</v>
      </c>
      <c r="C12" s="9" t="s">
        <v>101</v>
      </c>
      <c r="D12" s="9" t="s">
        <v>102</v>
      </c>
      <c r="E12" s="9" t="s">
        <v>32</v>
      </c>
      <c r="F12" s="9" t="s">
        <v>51</v>
      </c>
      <c r="G12" s="9" t="s">
        <v>24</v>
      </c>
      <c r="H12" s="9" t="s">
        <v>38</v>
      </c>
      <c r="I12" s="9" t="s">
        <v>103</v>
      </c>
      <c r="J12" s="9" t="s">
        <v>104</v>
      </c>
    </row>
    <row r="13" customFormat="false" ht="52" hidden="false" customHeight="true" outlineLevel="0" collapsed="false">
      <c r="A13" s="9" t="s">
        <v>19</v>
      </c>
      <c r="B13" s="9" t="s">
        <v>105</v>
      </c>
      <c r="C13" s="9" t="s">
        <v>85</v>
      </c>
      <c r="D13" s="9" t="s">
        <v>85</v>
      </c>
      <c r="E13" s="9" t="s">
        <v>32</v>
      </c>
      <c r="F13" s="9" t="s">
        <v>109</v>
      </c>
      <c r="G13" s="9" t="s">
        <v>24</v>
      </c>
      <c r="H13" s="9" t="s">
        <v>25</v>
      </c>
      <c r="I13" s="9" t="s">
        <v>107</v>
      </c>
      <c r="J13" s="9" t="s">
        <v>110</v>
      </c>
    </row>
    <row r="14" customFormat="false" ht="52" hidden="false" customHeight="true" outlineLevel="0" collapsed="false">
      <c r="A14" s="9" t="s">
        <v>19</v>
      </c>
      <c r="B14" s="9" t="s">
        <v>111</v>
      </c>
      <c r="C14" s="9" t="s">
        <v>114</v>
      </c>
      <c r="D14" s="9" t="s">
        <v>115</v>
      </c>
      <c r="E14" s="9" t="s">
        <v>116</v>
      </c>
      <c r="F14" s="9" t="s">
        <v>117</v>
      </c>
      <c r="G14" s="9" t="s">
        <v>24</v>
      </c>
      <c r="H14" s="9" t="s">
        <v>25</v>
      </c>
      <c r="I14" s="9" t="s">
        <v>118</v>
      </c>
      <c r="J14" s="9" t="s">
        <v>119</v>
      </c>
    </row>
    <row r="15" customFormat="false" ht="52" hidden="false" customHeight="true" outlineLevel="0" collapsed="false">
      <c r="A15" s="9" t="s">
        <v>19</v>
      </c>
      <c r="B15" s="9" t="s">
        <v>120</v>
      </c>
      <c r="C15" s="9" t="s">
        <v>126</v>
      </c>
      <c r="D15" s="9" t="s">
        <v>127</v>
      </c>
      <c r="E15" s="9" t="s">
        <v>128</v>
      </c>
      <c r="F15" s="9" t="s">
        <v>77</v>
      </c>
      <c r="G15" s="9" t="s">
        <v>122</v>
      </c>
      <c r="H15" s="9" t="s">
        <v>123</v>
      </c>
      <c r="I15" s="9" t="s">
        <v>129</v>
      </c>
      <c r="J15" s="9" t="s">
        <v>130</v>
      </c>
    </row>
    <row r="16" customFormat="false" ht="52" hidden="false" customHeight="true" outlineLevel="0" collapsed="false">
      <c r="A16" s="9" t="s">
        <v>19</v>
      </c>
      <c r="B16" s="9" t="s">
        <v>131</v>
      </c>
      <c r="C16" s="9" t="s">
        <v>134</v>
      </c>
      <c r="D16" s="9" t="s">
        <v>135</v>
      </c>
      <c r="E16" s="9" t="s">
        <v>32</v>
      </c>
      <c r="F16" s="9" t="s">
        <v>95</v>
      </c>
      <c r="G16" s="9" t="s">
        <v>24</v>
      </c>
      <c r="H16" s="9" t="s">
        <v>38</v>
      </c>
      <c r="I16" s="9" t="s">
        <v>136</v>
      </c>
      <c r="J16" s="9" t="s">
        <v>137</v>
      </c>
    </row>
    <row r="17" customFormat="false" ht="52" hidden="false" customHeight="true" outlineLevel="0" collapsed="false">
      <c r="A17" s="9" t="s">
        <v>19</v>
      </c>
      <c r="B17" s="9" t="s">
        <v>138</v>
      </c>
      <c r="C17" s="9" t="s">
        <v>141</v>
      </c>
      <c r="D17" s="9" t="s">
        <v>142</v>
      </c>
      <c r="E17" s="9" t="s">
        <v>32</v>
      </c>
      <c r="F17" s="9" t="s">
        <v>95</v>
      </c>
      <c r="G17" s="9" t="s">
        <v>24</v>
      </c>
      <c r="H17" s="9" t="s">
        <v>38</v>
      </c>
      <c r="I17" s="9" t="s">
        <v>143</v>
      </c>
      <c r="J17" s="9" t="s">
        <v>137</v>
      </c>
    </row>
    <row r="18" customFormat="false" ht="52" hidden="false" customHeight="true" outlineLevel="0" collapsed="false">
      <c r="A18" s="9" t="s">
        <v>19</v>
      </c>
      <c r="B18" s="9" t="s">
        <v>144</v>
      </c>
      <c r="C18" s="9" t="s">
        <v>147</v>
      </c>
      <c r="D18" s="9" t="s">
        <v>148</v>
      </c>
      <c r="E18" s="9" t="s">
        <v>149</v>
      </c>
      <c r="F18" s="9" t="s">
        <v>150</v>
      </c>
      <c r="G18" s="9" t="s">
        <v>24</v>
      </c>
      <c r="H18" s="9" t="s">
        <v>25</v>
      </c>
      <c r="I18" s="9" t="s">
        <v>151</v>
      </c>
      <c r="J18" s="9" t="s">
        <v>152</v>
      </c>
    </row>
    <row r="19" customFormat="false" ht="52" hidden="false" customHeight="true" outlineLevel="0" collapsed="false">
      <c r="A19" s="9" t="s">
        <v>19</v>
      </c>
      <c r="B19" s="9" t="s">
        <v>153</v>
      </c>
      <c r="C19" s="9" t="s">
        <v>156</v>
      </c>
      <c r="D19" s="9" t="s">
        <v>157</v>
      </c>
      <c r="E19" s="9" t="s">
        <v>158</v>
      </c>
      <c r="F19" s="9" t="s">
        <v>159</v>
      </c>
      <c r="G19" s="9" t="s">
        <v>24</v>
      </c>
      <c r="H19" s="9" t="s">
        <v>25</v>
      </c>
      <c r="I19" s="9" t="s">
        <v>160</v>
      </c>
      <c r="J19" s="9" t="s">
        <v>161</v>
      </c>
    </row>
    <row r="20" customFormat="false" ht="52" hidden="false" customHeight="true" outlineLevel="0" collapsed="false">
      <c r="A20" s="9" t="s">
        <v>19</v>
      </c>
      <c r="B20" s="9" t="s">
        <v>162</v>
      </c>
      <c r="C20" s="9" t="s">
        <v>165</v>
      </c>
      <c r="D20" s="9" t="s">
        <v>142</v>
      </c>
      <c r="E20" s="9" t="s">
        <v>32</v>
      </c>
      <c r="F20" s="9" t="s">
        <v>77</v>
      </c>
      <c r="G20" s="9" t="s">
        <v>24</v>
      </c>
      <c r="H20" s="9" t="s">
        <v>38</v>
      </c>
      <c r="I20" s="9" t="s">
        <v>166</v>
      </c>
      <c r="J20" s="9" t="s">
        <v>167</v>
      </c>
    </row>
    <row r="21" customFormat="false" ht="52" hidden="false" customHeight="true" outlineLevel="0" collapsed="false">
      <c r="A21" s="9" t="s">
        <v>19</v>
      </c>
      <c r="B21" s="9" t="s">
        <v>168</v>
      </c>
      <c r="C21" s="9" t="s">
        <v>171</v>
      </c>
      <c r="D21" s="9" t="s">
        <v>172</v>
      </c>
      <c r="E21" s="9" t="s">
        <v>32</v>
      </c>
      <c r="F21" s="9" t="s">
        <v>95</v>
      </c>
      <c r="G21" s="9" t="s">
        <v>24</v>
      </c>
      <c r="H21" s="9" t="s">
        <v>38</v>
      </c>
      <c r="I21" s="9" t="s">
        <v>173</v>
      </c>
      <c r="J21" s="9" t="s">
        <v>174</v>
      </c>
    </row>
    <row r="22" customFormat="false" ht="52" hidden="false" customHeight="true" outlineLevel="0" collapsed="false">
      <c r="A22" s="9" t="s">
        <v>19</v>
      </c>
      <c r="B22" s="9" t="s">
        <v>175</v>
      </c>
      <c r="C22" s="9" t="s">
        <v>31</v>
      </c>
      <c r="D22" s="9" t="s">
        <v>178</v>
      </c>
      <c r="E22" s="9" t="s">
        <v>179</v>
      </c>
      <c r="F22" s="9" t="s">
        <v>77</v>
      </c>
      <c r="G22" s="9" t="s">
        <v>24</v>
      </c>
      <c r="H22" s="9" t="s">
        <v>25</v>
      </c>
      <c r="I22" s="9" t="s">
        <v>180</v>
      </c>
      <c r="J22" s="9" t="s">
        <v>181</v>
      </c>
    </row>
    <row r="23" customFormat="false" ht="52" hidden="false" customHeight="true" outlineLevel="0" collapsed="false">
      <c r="A23" s="9" t="s">
        <v>19</v>
      </c>
      <c r="B23" s="9" t="s">
        <v>182</v>
      </c>
      <c r="C23" s="9" t="s">
        <v>185</v>
      </c>
      <c r="D23" s="9" t="s">
        <v>186</v>
      </c>
      <c r="E23" s="9" t="s">
        <v>32</v>
      </c>
      <c r="F23" s="9" t="s">
        <v>95</v>
      </c>
      <c r="G23" s="9" t="s">
        <v>24</v>
      </c>
      <c r="H23" s="9" t="s">
        <v>38</v>
      </c>
      <c r="I23" s="9" t="s">
        <v>187</v>
      </c>
      <c r="J23" s="9" t="s">
        <v>188</v>
      </c>
    </row>
    <row r="24" customFormat="false" ht="52" hidden="false" customHeight="true" outlineLevel="0" collapsed="false">
      <c r="A24" s="9" t="s">
        <v>19</v>
      </c>
      <c r="B24" s="9" t="s">
        <v>189</v>
      </c>
      <c r="C24" s="9" t="s">
        <v>195</v>
      </c>
      <c r="D24" s="9" t="s">
        <v>127</v>
      </c>
      <c r="E24" s="9" t="s">
        <v>32</v>
      </c>
      <c r="F24" s="9" t="s">
        <v>196</v>
      </c>
      <c r="G24" s="9" t="s">
        <v>191</v>
      </c>
      <c r="H24" s="9" t="s">
        <v>192</v>
      </c>
      <c r="I24" s="9" t="s">
        <v>194</v>
      </c>
      <c r="J24" s="9" t="s">
        <v>197</v>
      </c>
    </row>
    <row r="25" customFormat="false" ht="52" hidden="false" customHeight="true" outlineLevel="0" collapsed="false">
      <c r="A25" s="9" t="s">
        <v>19</v>
      </c>
      <c r="B25" s="9" t="s">
        <v>198</v>
      </c>
      <c r="C25" s="9" t="s">
        <v>85</v>
      </c>
      <c r="D25" s="9" t="s">
        <v>85</v>
      </c>
      <c r="E25" s="9" t="s">
        <v>201</v>
      </c>
      <c r="F25" s="9" t="s">
        <v>109</v>
      </c>
      <c r="G25" s="9" t="s">
        <v>24</v>
      </c>
      <c r="H25" s="9" t="s">
        <v>25</v>
      </c>
      <c r="I25" s="9" t="s">
        <v>200</v>
      </c>
      <c r="J25" s="9" t="s">
        <v>202</v>
      </c>
    </row>
    <row r="26" customFormat="false" ht="52" hidden="false" customHeight="true" outlineLevel="0" collapsed="false">
      <c r="A26" s="9" t="s">
        <v>19</v>
      </c>
      <c r="B26" s="9" t="s">
        <v>203</v>
      </c>
      <c r="C26" s="9" t="s">
        <v>31</v>
      </c>
      <c r="D26" s="9" t="s">
        <v>178</v>
      </c>
      <c r="E26" s="9" t="s">
        <v>179</v>
      </c>
      <c r="F26" s="9" t="s">
        <v>77</v>
      </c>
      <c r="G26" s="9" t="s">
        <v>24</v>
      </c>
      <c r="H26" s="9" t="s">
        <v>25</v>
      </c>
      <c r="I26" s="9" t="s">
        <v>180</v>
      </c>
      <c r="J26" s="9" t="s">
        <v>205</v>
      </c>
    </row>
    <row r="27" customFormat="false" ht="52" hidden="false" customHeight="true" outlineLevel="0" collapsed="false">
      <c r="A27" s="9" t="s">
        <v>19</v>
      </c>
      <c r="B27" s="9" t="s">
        <v>206</v>
      </c>
      <c r="C27" s="9" t="s">
        <v>85</v>
      </c>
      <c r="D27" s="9" t="s">
        <v>85</v>
      </c>
      <c r="E27" s="9" t="s">
        <v>209</v>
      </c>
      <c r="F27" s="9" t="s">
        <v>109</v>
      </c>
      <c r="G27" s="9" t="s">
        <v>24</v>
      </c>
      <c r="H27" s="9" t="s">
        <v>25</v>
      </c>
      <c r="I27" s="9" t="s">
        <v>208</v>
      </c>
      <c r="J27" s="9" t="s">
        <v>202</v>
      </c>
    </row>
    <row r="28" customFormat="false" ht="52" hidden="false" customHeight="true" outlineLevel="0" collapsed="false">
      <c r="A28" s="9" t="s">
        <v>19</v>
      </c>
      <c r="B28" s="9" t="s">
        <v>210</v>
      </c>
      <c r="C28" s="9" t="s">
        <v>213</v>
      </c>
      <c r="D28" s="9" t="s">
        <v>85</v>
      </c>
      <c r="E28" s="9" t="s">
        <v>214</v>
      </c>
      <c r="F28" s="9" t="s">
        <v>215</v>
      </c>
      <c r="G28" s="9" t="s">
        <v>24</v>
      </c>
      <c r="H28" s="9" t="s">
        <v>25</v>
      </c>
      <c r="I28" s="9" t="s">
        <v>216</v>
      </c>
      <c r="J28" s="9" t="s">
        <v>217</v>
      </c>
    </row>
    <row r="29" customFormat="false" ht="52" hidden="false" customHeight="true" outlineLevel="0" collapsed="false">
      <c r="A29" s="9" t="s">
        <v>19</v>
      </c>
      <c r="B29" s="9" t="s">
        <v>218</v>
      </c>
      <c r="C29" s="9" t="s">
        <v>85</v>
      </c>
      <c r="D29" s="9" t="s">
        <v>85</v>
      </c>
      <c r="E29" s="9" t="s">
        <v>221</v>
      </c>
      <c r="F29" s="9" t="s">
        <v>109</v>
      </c>
      <c r="G29" s="9" t="s">
        <v>24</v>
      </c>
      <c r="H29" s="9" t="s">
        <v>25</v>
      </c>
      <c r="I29" s="9" t="s">
        <v>220</v>
      </c>
      <c r="J29" s="9" t="s">
        <v>222</v>
      </c>
    </row>
    <row r="30" customFormat="false" ht="52" hidden="false" customHeight="true" outlineLevel="0" collapsed="false">
      <c r="A30" s="9" t="s">
        <v>19</v>
      </c>
      <c r="B30" s="9" t="s">
        <v>223</v>
      </c>
      <c r="C30" s="9" t="s">
        <v>85</v>
      </c>
      <c r="D30" s="9" t="s">
        <v>85</v>
      </c>
      <c r="E30" s="9" t="s">
        <v>201</v>
      </c>
      <c r="F30" s="9" t="s">
        <v>109</v>
      </c>
      <c r="G30" s="9" t="s">
        <v>24</v>
      </c>
      <c r="H30" s="9" t="s">
        <v>25</v>
      </c>
      <c r="I30" s="9" t="s">
        <v>225</v>
      </c>
      <c r="J30" s="9" t="s">
        <v>222</v>
      </c>
    </row>
    <row r="31" customFormat="false" ht="52" hidden="false" customHeight="true" outlineLevel="0" collapsed="false">
      <c r="A31" s="9" t="s">
        <v>19</v>
      </c>
      <c r="B31" s="9" t="s">
        <v>226</v>
      </c>
      <c r="C31" s="9" t="s">
        <v>229</v>
      </c>
      <c r="D31" s="9" t="s">
        <v>85</v>
      </c>
      <c r="E31" s="9" t="s">
        <v>214</v>
      </c>
      <c r="F31" s="9" t="s">
        <v>215</v>
      </c>
      <c r="G31" s="9" t="s">
        <v>24</v>
      </c>
      <c r="H31" s="9" t="s">
        <v>25</v>
      </c>
      <c r="I31" s="9" t="s">
        <v>216</v>
      </c>
      <c r="J31" s="9" t="s">
        <v>230</v>
      </c>
    </row>
    <row r="32" customFormat="false" ht="52" hidden="false" customHeight="true" outlineLevel="0" collapsed="false">
      <c r="A32" s="9" t="s">
        <v>19</v>
      </c>
      <c r="B32" s="9" t="s">
        <v>231</v>
      </c>
      <c r="C32" s="9" t="s">
        <v>235</v>
      </c>
      <c r="D32" s="9" t="s">
        <v>236</v>
      </c>
      <c r="E32" s="9" t="s">
        <v>237</v>
      </c>
      <c r="F32" s="9" t="s">
        <v>238</v>
      </c>
      <c r="G32" s="9" t="s">
        <v>24</v>
      </c>
      <c r="H32" s="9" t="s">
        <v>25</v>
      </c>
      <c r="I32" s="9" t="s">
        <v>233</v>
      </c>
      <c r="J32" s="9" t="s">
        <v>239</v>
      </c>
    </row>
    <row r="33" customFormat="false" ht="52" hidden="false" customHeight="true" outlineLevel="0" collapsed="false">
      <c r="A33" s="9" t="s">
        <v>19</v>
      </c>
      <c r="B33" s="9" t="s">
        <v>240</v>
      </c>
      <c r="C33" s="9" t="s">
        <v>85</v>
      </c>
      <c r="D33" s="9" t="s">
        <v>85</v>
      </c>
      <c r="E33" s="9" t="s">
        <v>243</v>
      </c>
      <c r="F33" s="9" t="s">
        <v>109</v>
      </c>
      <c r="G33" s="9" t="s">
        <v>24</v>
      </c>
      <c r="H33" s="9" t="s">
        <v>25</v>
      </c>
      <c r="I33" s="9" t="s">
        <v>242</v>
      </c>
      <c r="J33" s="9" t="s">
        <v>222</v>
      </c>
    </row>
    <row r="34" customFormat="false" ht="52" hidden="false" customHeight="true" outlineLevel="0" collapsed="false">
      <c r="A34" s="9" t="s">
        <v>19</v>
      </c>
      <c r="B34" s="9" t="s">
        <v>244</v>
      </c>
      <c r="C34" s="9" t="s">
        <v>85</v>
      </c>
      <c r="D34" s="9" t="s">
        <v>85</v>
      </c>
      <c r="E34" s="9" t="s">
        <v>201</v>
      </c>
      <c r="F34" s="9" t="s">
        <v>109</v>
      </c>
      <c r="G34" s="9" t="s">
        <v>24</v>
      </c>
      <c r="H34" s="9" t="s">
        <v>25</v>
      </c>
      <c r="I34" s="9" t="s">
        <v>246</v>
      </c>
      <c r="J34" s="9" t="s">
        <v>222</v>
      </c>
    </row>
    <row r="35" customFormat="false" ht="52" hidden="false" customHeight="true" outlineLevel="0" collapsed="false">
      <c r="A35" s="9" t="s">
        <v>19</v>
      </c>
      <c r="B35" s="9" t="s">
        <v>247</v>
      </c>
      <c r="C35" s="9" t="s">
        <v>85</v>
      </c>
      <c r="D35" s="9" t="s">
        <v>85</v>
      </c>
      <c r="E35" s="9" t="s">
        <v>243</v>
      </c>
      <c r="F35" s="9" t="s">
        <v>109</v>
      </c>
      <c r="G35" s="9" t="s">
        <v>24</v>
      </c>
      <c r="H35" s="9" t="s">
        <v>25</v>
      </c>
      <c r="I35" s="9" t="s">
        <v>249</v>
      </c>
      <c r="J35" s="9" t="s">
        <v>222</v>
      </c>
    </row>
    <row r="36" customFormat="false" ht="52" hidden="false" customHeight="true" outlineLevel="0" collapsed="false">
      <c r="A36" s="9" t="s">
        <v>250</v>
      </c>
      <c r="B36" s="9" t="s">
        <v>251</v>
      </c>
      <c r="C36" s="9" t="s">
        <v>258</v>
      </c>
      <c r="D36" s="9" t="s">
        <v>259</v>
      </c>
      <c r="E36" s="9" t="s">
        <v>260</v>
      </c>
      <c r="F36" s="9" t="s">
        <v>261</v>
      </c>
      <c r="G36" s="9" t="s">
        <v>254</v>
      </c>
      <c r="H36" s="9" t="s">
        <v>255</v>
      </c>
      <c r="I36" s="9" t="s">
        <v>262</v>
      </c>
      <c r="J36" s="9" t="s">
        <v>263</v>
      </c>
    </row>
    <row r="37" customFormat="false" ht="52" hidden="false" customHeight="true" outlineLevel="0" collapsed="false">
      <c r="A37" s="9" t="s">
        <v>264</v>
      </c>
      <c r="B37" s="9" t="s">
        <v>265</v>
      </c>
      <c r="C37" s="9" t="s">
        <v>270</v>
      </c>
      <c r="D37" s="9" t="s">
        <v>271</v>
      </c>
      <c r="E37" s="9" t="s">
        <v>201</v>
      </c>
      <c r="F37" s="9" t="s">
        <v>272</v>
      </c>
      <c r="G37" s="9" t="s">
        <v>266</v>
      </c>
      <c r="H37" s="9" t="s">
        <v>267</v>
      </c>
      <c r="I37" s="9" t="s">
        <v>269</v>
      </c>
      <c r="J37" s="9" t="s">
        <v>273</v>
      </c>
    </row>
    <row r="38" customFormat="false" ht="52" hidden="false" customHeight="true" outlineLevel="0" collapsed="false">
      <c r="A38" s="9" t="s">
        <v>250</v>
      </c>
      <c r="B38" s="9" t="s">
        <v>274</v>
      </c>
      <c r="C38" s="9" t="s">
        <v>277</v>
      </c>
      <c r="D38" s="9" t="s">
        <v>278</v>
      </c>
      <c r="E38" s="9" t="s">
        <v>201</v>
      </c>
      <c r="F38" s="9" t="s">
        <v>261</v>
      </c>
      <c r="G38" s="9" t="s">
        <v>254</v>
      </c>
      <c r="H38" s="9" t="s">
        <v>255</v>
      </c>
      <c r="I38" s="9" t="s">
        <v>279</v>
      </c>
      <c r="J38" s="9" t="s">
        <v>280</v>
      </c>
    </row>
    <row r="39" customFormat="false" ht="52" hidden="false" customHeight="true" outlineLevel="0" collapsed="false">
      <c r="A39" s="9" t="s">
        <v>250</v>
      </c>
      <c r="B39" s="9" t="s">
        <v>281</v>
      </c>
      <c r="C39" s="9" t="s">
        <v>284</v>
      </c>
      <c r="D39" s="9" t="s">
        <v>285</v>
      </c>
      <c r="E39" s="9" t="s">
        <v>201</v>
      </c>
      <c r="F39" s="9" t="s">
        <v>261</v>
      </c>
      <c r="G39" s="9" t="s">
        <v>254</v>
      </c>
      <c r="H39" s="9" t="s">
        <v>255</v>
      </c>
      <c r="I39" s="9" t="s">
        <v>286</v>
      </c>
      <c r="J39" s="9" t="s">
        <v>287</v>
      </c>
    </row>
    <row r="40" customFormat="false" ht="52" hidden="false" customHeight="true" outlineLevel="0" collapsed="false">
      <c r="A40" s="9" t="s">
        <v>250</v>
      </c>
      <c r="B40" s="9" t="s">
        <v>288</v>
      </c>
      <c r="C40" s="9" t="s">
        <v>290</v>
      </c>
      <c r="D40" s="9" t="s">
        <v>291</v>
      </c>
      <c r="E40" s="9" t="s">
        <v>201</v>
      </c>
      <c r="F40" s="9" t="s">
        <v>261</v>
      </c>
      <c r="G40" s="9" t="s">
        <v>254</v>
      </c>
      <c r="H40" s="9" t="s">
        <v>255</v>
      </c>
      <c r="I40" s="9" t="s">
        <v>292</v>
      </c>
      <c r="J40" s="9" t="s">
        <v>293</v>
      </c>
    </row>
    <row r="41" customFormat="false" ht="52" hidden="false" customHeight="true" outlineLevel="0" collapsed="false">
      <c r="A41" s="9" t="s">
        <v>250</v>
      </c>
      <c r="B41" s="9" t="s">
        <v>294</v>
      </c>
      <c r="C41" s="9" t="s">
        <v>297</v>
      </c>
      <c r="D41" s="9" t="s">
        <v>298</v>
      </c>
      <c r="E41" s="9" t="s">
        <v>201</v>
      </c>
      <c r="F41" s="9" t="s">
        <v>261</v>
      </c>
      <c r="G41" s="9" t="s">
        <v>254</v>
      </c>
      <c r="H41" s="9" t="s">
        <v>255</v>
      </c>
      <c r="I41" s="9" t="s">
        <v>299</v>
      </c>
      <c r="J41" s="9" t="s">
        <v>300</v>
      </c>
    </row>
    <row r="42" customFormat="false" ht="52" hidden="false" customHeight="true" outlineLevel="0" collapsed="false">
      <c r="A42" s="9" t="s">
        <v>250</v>
      </c>
      <c r="B42" s="9" t="s">
        <v>301</v>
      </c>
      <c r="C42" s="9" t="s">
        <v>304</v>
      </c>
      <c r="D42" s="9" t="s">
        <v>305</v>
      </c>
      <c r="E42" s="9" t="s">
        <v>306</v>
      </c>
      <c r="F42" s="9" t="s">
        <v>261</v>
      </c>
      <c r="G42" s="9" t="s">
        <v>254</v>
      </c>
      <c r="H42" s="9" t="s">
        <v>255</v>
      </c>
      <c r="I42" s="9" t="s">
        <v>307</v>
      </c>
      <c r="J42" s="9" t="s">
        <v>308</v>
      </c>
    </row>
    <row r="43" customFormat="false" ht="52" hidden="false" customHeight="true" outlineLevel="0" collapsed="false">
      <c r="A43" s="9" t="s">
        <v>309</v>
      </c>
      <c r="B43" s="9" t="s">
        <v>310</v>
      </c>
      <c r="C43" s="9" t="s">
        <v>315</v>
      </c>
      <c r="D43" s="9" t="s">
        <v>316</v>
      </c>
      <c r="E43" s="9" t="s">
        <v>317</v>
      </c>
      <c r="F43" s="9" t="s">
        <v>318</v>
      </c>
      <c r="G43" s="9" t="s">
        <v>312</v>
      </c>
      <c r="H43" s="9" t="s">
        <v>267</v>
      </c>
      <c r="I43" s="9" t="s">
        <v>314</v>
      </c>
      <c r="J43" s="9" t="s">
        <v>319</v>
      </c>
    </row>
    <row r="44" customFormat="false" ht="52" hidden="false" customHeight="true" outlineLevel="0" collapsed="false">
      <c r="A44" s="9" t="s">
        <v>309</v>
      </c>
      <c r="B44" s="9" t="s">
        <v>320</v>
      </c>
      <c r="C44" s="9" t="s">
        <v>315</v>
      </c>
      <c r="D44" s="9" t="s">
        <v>316</v>
      </c>
      <c r="E44" s="9" t="s">
        <v>324</v>
      </c>
      <c r="F44" s="9" t="s">
        <v>318</v>
      </c>
      <c r="G44" s="9" t="s">
        <v>321</v>
      </c>
      <c r="H44" s="9" t="s">
        <v>267</v>
      </c>
      <c r="I44" s="9" t="s">
        <v>323</v>
      </c>
      <c r="J44" s="9" t="s">
        <v>325</v>
      </c>
    </row>
    <row r="45" customFormat="false" ht="52" hidden="false" customHeight="true" outlineLevel="0" collapsed="false">
      <c r="A45" s="9" t="s">
        <v>309</v>
      </c>
      <c r="B45" s="9" t="s">
        <v>326</v>
      </c>
      <c r="C45" s="9" t="s">
        <v>329</v>
      </c>
      <c r="D45" s="9" t="s">
        <v>330</v>
      </c>
      <c r="E45" s="9" t="s">
        <v>317</v>
      </c>
      <c r="F45" s="9" t="s">
        <v>318</v>
      </c>
      <c r="G45" s="9" t="s">
        <v>312</v>
      </c>
      <c r="H45" s="9" t="s">
        <v>267</v>
      </c>
      <c r="I45" s="9" t="s">
        <v>328</v>
      </c>
      <c r="J45" s="9" t="s">
        <v>331</v>
      </c>
    </row>
    <row r="46" customFormat="false" ht="52" hidden="false" customHeight="true" outlineLevel="0" collapsed="false">
      <c r="A46" s="9" t="s">
        <v>332</v>
      </c>
      <c r="B46" s="9" t="s">
        <v>333</v>
      </c>
      <c r="C46" s="9" t="s">
        <v>338</v>
      </c>
      <c r="D46" s="9" t="s">
        <v>339</v>
      </c>
      <c r="E46" s="9" t="s">
        <v>201</v>
      </c>
      <c r="F46" s="9" t="s">
        <v>272</v>
      </c>
      <c r="G46" s="9" t="s">
        <v>335</v>
      </c>
      <c r="H46" s="9" t="s">
        <v>336</v>
      </c>
      <c r="I46" s="9" t="s">
        <v>340</v>
      </c>
      <c r="J46" s="9" t="s">
        <v>341</v>
      </c>
    </row>
    <row r="47" customFormat="false" ht="52" hidden="false" customHeight="true" outlineLevel="0" collapsed="false">
      <c r="A47" s="9" t="s">
        <v>250</v>
      </c>
      <c r="B47" s="9" t="s">
        <v>342</v>
      </c>
      <c r="C47" s="9" t="s">
        <v>297</v>
      </c>
      <c r="D47" s="9" t="s">
        <v>298</v>
      </c>
      <c r="E47" s="9" t="s">
        <v>201</v>
      </c>
      <c r="F47" s="9" t="s">
        <v>261</v>
      </c>
      <c r="G47" s="9" t="s">
        <v>254</v>
      </c>
      <c r="H47" s="9" t="s">
        <v>255</v>
      </c>
      <c r="I47" s="9" t="s">
        <v>345</v>
      </c>
      <c r="J47" s="9" t="s">
        <v>346</v>
      </c>
    </row>
    <row r="48" customFormat="false" ht="52" hidden="false" customHeight="true" outlineLevel="0" collapsed="false">
      <c r="A48" s="9" t="s">
        <v>250</v>
      </c>
      <c r="B48" s="9" t="s">
        <v>347</v>
      </c>
      <c r="C48" s="9" t="s">
        <v>85</v>
      </c>
      <c r="D48" s="9" t="s">
        <v>85</v>
      </c>
      <c r="E48" s="9" t="s">
        <v>349</v>
      </c>
      <c r="F48" s="9" t="s">
        <v>350</v>
      </c>
      <c r="G48" s="9" t="s">
        <v>254</v>
      </c>
      <c r="H48" s="9" t="s">
        <v>255</v>
      </c>
      <c r="I48" s="9" t="s">
        <v>348</v>
      </c>
      <c r="J48" s="9" t="s">
        <v>222</v>
      </c>
    </row>
    <row r="49" customFormat="false" ht="52" hidden="false" customHeight="true" outlineLevel="0" collapsed="false">
      <c r="A49" s="9" t="s">
        <v>351</v>
      </c>
      <c r="B49" s="9" t="s">
        <v>352</v>
      </c>
      <c r="C49" s="9" t="s">
        <v>354</v>
      </c>
      <c r="D49" s="9" t="s">
        <v>355</v>
      </c>
      <c r="E49" s="9" t="s">
        <v>356</v>
      </c>
      <c r="F49" s="9" t="s">
        <v>272</v>
      </c>
      <c r="G49" s="9" t="s">
        <v>254</v>
      </c>
      <c r="H49" s="9" t="s">
        <v>255</v>
      </c>
      <c r="I49" s="9" t="s">
        <v>357</v>
      </c>
      <c r="J49" s="9" t="s">
        <v>358</v>
      </c>
    </row>
    <row r="50" customFormat="false" ht="52" hidden="false" customHeight="true" outlineLevel="0" collapsed="false">
      <c r="A50" s="9" t="s">
        <v>359</v>
      </c>
      <c r="B50" s="9" t="s">
        <v>360</v>
      </c>
      <c r="C50" s="9" t="s">
        <v>365</v>
      </c>
      <c r="D50" s="9" t="s">
        <v>366</v>
      </c>
      <c r="E50" s="9" t="s">
        <v>367</v>
      </c>
      <c r="F50" s="9" t="s">
        <v>77</v>
      </c>
      <c r="G50" s="9" t="s">
        <v>362</v>
      </c>
      <c r="H50" s="9" t="s">
        <v>363</v>
      </c>
      <c r="I50" s="9" t="s">
        <v>368</v>
      </c>
      <c r="J50" s="9" t="s">
        <v>369</v>
      </c>
    </row>
    <row r="51" customFormat="false" ht="52" hidden="false" customHeight="true" outlineLevel="0" collapsed="false">
      <c r="A51" s="9" t="s">
        <v>250</v>
      </c>
      <c r="B51" s="9" t="s">
        <v>370</v>
      </c>
      <c r="C51" s="9" t="s">
        <v>373</v>
      </c>
      <c r="D51" s="9" t="s">
        <v>374</v>
      </c>
      <c r="E51" s="9" t="s">
        <v>201</v>
      </c>
      <c r="F51" s="9" t="s">
        <v>261</v>
      </c>
      <c r="G51" s="9" t="s">
        <v>266</v>
      </c>
      <c r="H51" s="9" t="s">
        <v>267</v>
      </c>
      <c r="I51" s="9" t="s">
        <v>372</v>
      </c>
      <c r="J51" s="9" t="s">
        <v>375</v>
      </c>
    </row>
    <row r="52" customFormat="false" ht="52" hidden="false" customHeight="true" outlineLevel="0" collapsed="false">
      <c r="A52" s="9" t="s">
        <v>264</v>
      </c>
      <c r="B52" s="9" t="s">
        <v>376</v>
      </c>
      <c r="C52" s="9" t="s">
        <v>290</v>
      </c>
      <c r="D52" s="9" t="s">
        <v>379</v>
      </c>
      <c r="E52" s="9" t="s">
        <v>201</v>
      </c>
      <c r="F52" s="9" t="s">
        <v>261</v>
      </c>
      <c r="G52" s="9" t="s">
        <v>254</v>
      </c>
      <c r="H52" s="9" t="s">
        <v>255</v>
      </c>
      <c r="I52" s="9" t="s">
        <v>380</v>
      </c>
      <c r="J52" s="9" t="s">
        <v>381</v>
      </c>
    </row>
    <row r="53" customFormat="false" ht="52" hidden="false" customHeight="true" outlineLevel="0" collapsed="false">
      <c r="A53" s="9" t="s">
        <v>351</v>
      </c>
      <c r="B53" s="9" t="s">
        <v>382</v>
      </c>
      <c r="C53" s="9" t="s">
        <v>355</v>
      </c>
      <c r="D53" s="9" t="s">
        <v>385</v>
      </c>
      <c r="E53" s="9" t="s">
        <v>201</v>
      </c>
      <c r="F53" s="9" t="s">
        <v>261</v>
      </c>
      <c r="G53" s="9" t="s">
        <v>254</v>
      </c>
      <c r="H53" s="9" t="s">
        <v>255</v>
      </c>
      <c r="I53" s="9" t="s">
        <v>386</v>
      </c>
      <c r="J53" s="9" t="s">
        <v>387</v>
      </c>
    </row>
    <row r="54" customFormat="false" ht="52" hidden="false" customHeight="true" outlineLevel="0" collapsed="false">
      <c r="A54" s="9" t="s">
        <v>388</v>
      </c>
      <c r="B54" s="9" t="s">
        <v>389</v>
      </c>
      <c r="C54" s="9" t="s">
        <v>395</v>
      </c>
      <c r="D54" s="9" t="s">
        <v>396</v>
      </c>
      <c r="E54" s="9" t="s">
        <v>397</v>
      </c>
      <c r="F54" s="9" t="s">
        <v>398</v>
      </c>
      <c r="G54" s="9" t="s">
        <v>391</v>
      </c>
      <c r="H54" s="9" t="s">
        <v>392</v>
      </c>
      <c r="I54" s="9" t="s">
        <v>399</v>
      </c>
      <c r="J54" s="9" t="s">
        <v>400</v>
      </c>
    </row>
    <row r="55" customFormat="false" ht="52" hidden="false" customHeight="true" outlineLevel="0" collapsed="false">
      <c r="A55" s="9" t="s">
        <v>388</v>
      </c>
      <c r="B55" s="9" t="s">
        <v>401</v>
      </c>
      <c r="C55" s="9" t="s">
        <v>338</v>
      </c>
      <c r="D55" s="9" t="s">
        <v>259</v>
      </c>
      <c r="E55" s="9" t="s">
        <v>405</v>
      </c>
      <c r="F55" s="9" t="s">
        <v>406</v>
      </c>
      <c r="G55" s="9" t="s">
        <v>402</v>
      </c>
      <c r="H55" s="9" t="s">
        <v>392</v>
      </c>
      <c r="I55" s="9" t="s">
        <v>404</v>
      </c>
      <c r="J55" s="9" t="s">
        <v>407</v>
      </c>
    </row>
    <row r="56" customFormat="false" ht="52" hidden="false" customHeight="true" outlineLevel="0" collapsed="false">
      <c r="A56" s="9" t="s">
        <v>388</v>
      </c>
      <c r="B56" s="9" t="s">
        <v>408</v>
      </c>
      <c r="C56" s="9" t="s">
        <v>396</v>
      </c>
      <c r="D56" s="9" t="s">
        <v>412</v>
      </c>
      <c r="E56" s="9" t="s">
        <v>413</v>
      </c>
      <c r="F56" s="9" t="s">
        <v>398</v>
      </c>
      <c r="G56" s="9" t="s">
        <v>409</v>
      </c>
      <c r="H56" s="9" t="s">
        <v>392</v>
      </c>
      <c r="I56" s="9" t="s">
        <v>411</v>
      </c>
      <c r="J56" s="9" t="s">
        <v>414</v>
      </c>
    </row>
    <row r="57" customFormat="false" ht="52" hidden="false" customHeight="true" outlineLevel="0" collapsed="false">
      <c r="A57" s="9" t="s">
        <v>388</v>
      </c>
      <c r="B57" s="9" t="s">
        <v>415</v>
      </c>
      <c r="C57" s="9" t="s">
        <v>259</v>
      </c>
      <c r="D57" s="9" t="s">
        <v>419</v>
      </c>
      <c r="E57" s="9" t="s">
        <v>397</v>
      </c>
      <c r="F57" s="9" t="s">
        <v>398</v>
      </c>
      <c r="G57" s="9" t="s">
        <v>416</v>
      </c>
      <c r="H57" s="9" t="s">
        <v>392</v>
      </c>
      <c r="I57" s="9" t="s">
        <v>418</v>
      </c>
      <c r="J57" s="9" t="s">
        <v>420</v>
      </c>
    </row>
    <row r="58" customFormat="false" ht="52" hidden="false" customHeight="true" outlineLevel="0" collapsed="false">
      <c r="A58" s="9" t="s">
        <v>388</v>
      </c>
      <c r="B58" s="9" t="s">
        <v>421</v>
      </c>
      <c r="C58" s="9" t="s">
        <v>85</v>
      </c>
      <c r="D58" s="9" t="s">
        <v>85</v>
      </c>
      <c r="E58" s="9" t="s">
        <v>397</v>
      </c>
      <c r="F58" s="9" t="s">
        <v>350</v>
      </c>
      <c r="G58" s="9" t="s">
        <v>422</v>
      </c>
      <c r="H58" s="9" t="s">
        <v>392</v>
      </c>
      <c r="I58" s="9" t="s">
        <v>423</v>
      </c>
      <c r="J58" s="9" t="s">
        <v>222</v>
      </c>
    </row>
    <row r="59" customFormat="false" ht="52" hidden="false" customHeight="true" outlineLevel="0" collapsed="false">
      <c r="A59" s="9" t="s">
        <v>388</v>
      </c>
      <c r="B59" s="9" t="s">
        <v>425</v>
      </c>
      <c r="C59" s="9" t="s">
        <v>315</v>
      </c>
      <c r="D59" s="9" t="s">
        <v>297</v>
      </c>
      <c r="E59" s="9" t="s">
        <v>429</v>
      </c>
      <c r="F59" s="9" t="s">
        <v>430</v>
      </c>
      <c r="G59" s="9" t="s">
        <v>426</v>
      </c>
      <c r="H59" s="9" t="s">
        <v>392</v>
      </c>
      <c r="I59" s="9" t="s">
        <v>431</v>
      </c>
      <c r="J59" s="9" t="s">
        <v>432</v>
      </c>
    </row>
    <row r="60" customFormat="false" ht="52" hidden="false" customHeight="true" outlineLevel="0" collapsed="false">
      <c r="A60" s="9" t="s">
        <v>388</v>
      </c>
      <c r="B60" s="9" t="s">
        <v>433</v>
      </c>
      <c r="C60" s="9" t="s">
        <v>285</v>
      </c>
      <c r="D60" s="9" t="s">
        <v>437</v>
      </c>
      <c r="E60" s="9" t="s">
        <v>397</v>
      </c>
      <c r="F60" s="9" t="s">
        <v>398</v>
      </c>
      <c r="G60" s="9" t="s">
        <v>434</v>
      </c>
      <c r="H60" s="9" t="s">
        <v>392</v>
      </c>
      <c r="I60" s="9" t="s">
        <v>436</v>
      </c>
      <c r="J60" s="9" t="s">
        <v>438</v>
      </c>
    </row>
    <row r="61" customFormat="false" ht="52" hidden="false" customHeight="true" outlineLevel="0" collapsed="false">
      <c r="A61" s="9" t="s">
        <v>388</v>
      </c>
      <c r="B61" s="9" t="s">
        <v>439</v>
      </c>
      <c r="C61" s="9" t="s">
        <v>443</v>
      </c>
      <c r="D61" s="9" t="s">
        <v>396</v>
      </c>
      <c r="E61" s="9" t="s">
        <v>444</v>
      </c>
      <c r="F61" s="9" t="s">
        <v>398</v>
      </c>
      <c r="G61" s="9" t="s">
        <v>440</v>
      </c>
      <c r="H61" s="9" t="s">
        <v>392</v>
      </c>
      <c r="I61" s="9" t="s">
        <v>442</v>
      </c>
      <c r="J61" s="9" t="s">
        <v>445</v>
      </c>
    </row>
    <row r="62" customFormat="false" ht="52" hidden="false" customHeight="true" outlineLevel="0" collapsed="false">
      <c r="A62" s="9" t="s">
        <v>388</v>
      </c>
      <c r="B62" s="9" t="s">
        <v>446</v>
      </c>
      <c r="C62" s="9" t="s">
        <v>396</v>
      </c>
      <c r="D62" s="9" t="s">
        <v>412</v>
      </c>
      <c r="E62" s="9" t="s">
        <v>413</v>
      </c>
      <c r="F62" s="9" t="s">
        <v>398</v>
      </c>
      <c r="G62" s="9" t="s">
        <v>448</v>
      </c>
      <c r="H62" s="9" t="s">
        <v>392</v>
      </c>
      <c r="I62" s="9" t="s">
        <v>411</v>
      </c>
      <c r="J62" s="9" t="s">
        <v>450</v>
      </c>
    </row>
    <row r="63" customFormat="false" ht="52" hidden="false" customHeight="true" outlineLevel="0" collapsed="false">
      <c r="A63" s="9" t="s">
        <v>388</v>
      </c>
      <c r="B63" s="9" t="s">
        <v>451</v>
      </c>
      <c r="C63" s="9" t="s">
        <v>85</v>
      </c>
      <c r="D63" s="9" t="s">
        <v>85</v>
      </c>
      <c r="E63" s="9" t="s">
        <v>455</v>
      </c>
      <c r="F63" s="9" t="s">
        <v>456</v>
      </c>
      <c r="G63" s="9" t="s">
        <v>452</v>
      </c>
      <c r="H63" s="9" t="s">
        <v>392</v>
      </c>
      <c r="I63" s="9" t="s">
        <v>453</v>
      </c>
      <c r="J63" s="9" t="s">
        <v>457</v>
      </c>
    </row>
    <row r="64" customFormat="false" ht="52" hidden="false" customHeight="true" outlineLevel="0" collapsed="false">
      <c r="A64" s="9" t="s">
        <v>388</v>
      </c>
      <c r="B64" s="9" t="s">
        <v>458</v>
      </c>
      <c r="C64" s="9" t="s">
        <v>396</v>
      </c>
      <c r="D64" s="9" t="s">
        <v>412</v>
      </c>
      <c r="E64" s="9" t="s">
        <v>413</v>
      </c>
      <c r="F64" s="9" t="s">
        <v>398</v>
      </c>
      <c r="G64" s="9" t="s">
        <v>448</v>
      </c>
      <c r="H64" s="9" t="s">
        <v>392</v>
      </c>
      <c r="I64" s="9" t="s">
        <v>411</v>
      </c>
      <c r="J64" s="9" t="s">
        <v>414</v>
      </c>
    </row>
    <row r="65" customFormat="false" ht="52" hidden="false" customHeight="true" outlineLevel="0" collapsed="false">
      <c r="A65" s="9" t="s">
        <v>388</v>
      </c>
      <c r="B65" s="9" t="s">
        <v>460</v>
      </c>
      <c r="C65" s="9" t="s">
        <v>396</v>
      </c>
      <c r="D65" s="9" t="s">
        <v>412</v>
      </c>
      <c r="E65" s="9" t="s">
        <v>413</v>
      </c>
      <c r="F65" s="9" t="s">
        <v>398</v>
      </c>
      <c r="G65" s="9" t="s">
        <v>448</v>
      </c>
      <c r="H65" s="9" t="s">
        <v>392</v>
      </c>
      <c r="I65" s="9" t="s">
        <v>411</v>
      </c>
      <c r="J65" s="9" t="s">
        <v>414</v>
      </c>
    </row>
    <row r="66" customFormat="false" ht="52" hidden="false" customHeight="true" outlineLevel="0" collapsed="false">
      <c r="A66" s="9" t="s">
        <v>462</v>
      </c>
      <c r="B66" s="9" t="s">
        <v>463</v>
      </c>
      <c r="C66" s="9" t="s">
        <v>339</v>
      </c>
      <c r="D66" s="9" t="s">
        <v>298</v>
      </c>
      <c r="E66" s="9" t="s">
        <v>471</v>
      </c>
      <c r="F66" s="9" t="s">
        <v>472</v>
      </c>
      <c r="G66" s="9" t="s">
        <v>467</v>
      </c>
      <c r="H66" s="9" t="s">
        <v>468</v>
      </c>
      <c r="I66" s="9" t="s">
        <v>473</v>
      </c>
      <c r="J66" s="9" t="s">
        <v>474</v>
      </c>
    </row>
    <row r="67" customFormat="false" ht="52" hidden="false" customHeight="true" outlineLevel="0" collapsed="false">
      <c r="A67" s="9" t="s">
        <v>462</v>
      </c>
      <c r="B67" s="9" t="s">
        <v>475</v>
      </c>
      <c r="C67" s="9" t="s">
        <v>477</v>
      </c>
      <c r="D67" s="9" t="s">
        <v>316</v>
      </c>
      <c r="E67" s="9" t="s">
        <v>471</v>
      </c>
      <c r="F67" s="9" t="s">
        <v>478</v>
      </c>
      <c r="G67" s="9" t="s">
        <v>467</v>
      </c>
      <c r="H67" s="9" t="s">
        <v>468</v>
      </c>
      <c r="I67" s="9" t="s">
        <v>479</v>
      </c>
      <c r="J67" s="9" t="s">
        <v>480</v>
      </c>
    </row>
    <row r="68" customFormat="false" ht="52" hidden="false" customHeight="true" outlineLevel="0" collapsed="false">
      <c r="A68" s="9" t="s">
        <v>462</v>
      </c>
      <c r="B68" s="9" t="s">
        <v>481</v>
      </c>
      <c r="C68" s="9" t="s">
        <v>85</v>
      </c>
      <c r="D68" s="9" t="s">
        <v>85</v>
      </c>
      <c r="E68" s="9" t="s">
        <v>483</v>
      </c>
      <c r="F68" s="9" t="s">
        <v>109</v>
      </c>
      <c r="G68" s="9" t="s">
        <v>467</v>
      </c>
      <c r="H68" s="9" t="s">
        <v>468</v>
      </c>
      <c r="I68" s="9" t="s">
        <v>482</v>
      </c>
      <c r="J68" s="9" t="s">
        <v>484</v>
      </c>
    </row>
    <row r="69" customFormat="false" ht="52" hidden="false" customHeight="true" outlineLevel="0" collapsed="false">
      <c r="A69" s="9" t="s">
        <v>462</v>
      </c>
      <c r="B69" s="9" t="s">
        <v>485</v>
      </c>
      <c r="C69" s="9" t="s">
        <v>85</v>
      </c>
      <c r="D69" s="9" t="s">
        <v>85</v>
      </c>
      <c r="E69" s="9" t="s">
        <v>483</v>
      </c>
      <c r="F69" s="9" t="s">
        <v>109</v>
      </c>
      <c r="G69" s="9" t="s">
        <v>467</v>
      </c>
      <c r="H69" s="9" t="s">
        <v>468</v>
      </c>
      <c r="I69" s="9" t="s">
        <v>486</v>
      </c>
      <c r="J69" s="9" t="s">
        <v>484</v>
      </c>
    </row>
    <row r="70" customFormat="false" ht="52" hidden="false" customHeight="true" outlineLevel="0" collapsed="false">
      <c r="A70" s="9" t="s">
        <v>462</v>
      </c>
      <c r="B70" s="9" t="s">
        <v>487</v>
      </c>
      <c r="C70" s="9" t="s">
        <v>85</v>
      </c>
      <c r="D70" s="9" t="s">
        <v>85</v>
      </c>
      <c r="E70" s="9" t="s">
        <v>483</v>
      </c>
      <c r="F70" s="9" t="s">
        <v>109</v>
      </c>
      <c r="G70" s="9" t="s">
        <v>467</v>
      </c>
      <c r="H70" s="9" t="s">
        <v>468</v>
      </c>
      <c r="I70" s="9" t="s">
        <v>488</v>
      </c>
      <c r="J70" s="9" t="s">
        <v>484</v>
      </c>
    </row>
    <row r="71" customFormat="false" ht="52" hidden="false" customHeight="true" outlineLevel="0" collapsed="false">
      <c r="A71" s="9" t="s">
        <v>462</v>
      </c>
      <c r="B71" s="9" t="s">
        <v>489</v>
      </c>
      <c r="C71" s="9" t="s">
        <v>304</v>
      </c>
      <c r="D71" s="9" t="s">
        <v>285</v>
      </c>
      <c r="E71" s="9" t="s">
        <v>471</v>
      </c>
      <c r="F71" s="9" t="s">
        <v>491</v>
      </c>
      <c r="G71" s="9" t="s">
        <v>467</v>
      </c>
      <c r="H71" s="9" t="s">
        <v>468</v>
      </c>
      <c r="I71" s="9" t="s">
        <v>492</v>
      </c>
      <c r="J71" s="9" t="s">
        <v>493</v>
      </c>
    </row>
    <row r="72" customFormat="false" ht="52" hidden="false" customHeight="true" outlineLevel="0" collapsed="false">
      <c r="A72" s="9" t="s">
        <v>462</v>
      </c>
      <c r="B72" s="9" t="s">
        <v>494</v>
      </c>
      <c r="C72" s="9" t="s">
        <v>285</v>
      </c>
      <c r="D72" s="9" t="s">
        <v>385</v>
      </c>
      <c r="E72" s="9" t="s">
        <v>471</v>
      </c>
      <c r="F72" s="9" t="s">
        <v>478</v>
      </c>
      <c r="G72" s="9" t="s">
        <v>467</v>
      </c>
      <c r="H72" s="9" t="s">
        <v>468</v>
      </c>
      <c r="I72" s="9" t="s">
        <v>496</v>
      </c>
      <c r="J72" s="9" t="s">
        <v>497</v>
      </c>
    </row>
    <row r="73" customFormat="false" ht="52" hidden="false" customHeight="true" outlineLevel="0" collapsed="false">
      <c r="A73" s="9" t="s">
        <v>462</v>
      </c>
      <c r="B73" s="9" t="s">
        <v>498</v>
      </c>
      <c r="C73" s="9" t="s">
        <v>85</v>
      </c>
      <c r="D73" s="9" t="s">
        <v>85</v>
      </c>
      <c r="E73" s="9" t="s">
        <v>483</v>
      </c>
      <c r="F73" s="9" t="s">
        <v>109</v>
      </c>
      <c r="G73" s="9" t="s">
        <v>467</v>
      </c>
      <c r="H73" s="9" t="s">
        <v>468</v>
      </c>
      <c r="I73" s="9" t="s">
        <v>500</v>
      </c>
      <c r="J73" s="9" t="s">
        <v>484</v>
      </c>
    </row>
    <row r="74" customFormat="false" ht="52" hidden="false" customHeight="true" outlineLevel="0" collapsed="false">
      <c r="A74" s="9" t="s">
        <v>462</v>
      </c>
      <c r="B74" s="9" t="s">
        <v>501</v>
      </c>
      <c r="C74" s="9" t="s">
        <v>85</v>
      </c>
      <c r="D74" s="9" t="s">
        <v>85</v>
      </c>
      <c r="E74" s="9" t="s">
        <v>483</v>
      </c>
      <c r="F74" s="9" t="s">
        <v>109</v>
      </c>
      <c r="G74" s="9" t="s">
        <v>467</v>
      </c>
      <c r="H74" s="9" t="s">
        <v>468</v>
      </c>
      <c r="I74" s="9" t="s">
        <v>502</v>
      </c>
      <c r="J74" s="9" t="s">
        <v>484</v>
      </c>
    </row>
    <row r="75" customFormat="false" ht="52" hidden="false" customHeight="true" outlineLevel="0" collapsed="false">
      <c r="A75" s="9" t="s">
        <v>462</v>
      </c>
      <c r="B75" s="9" t="s">
        <v>503</v>
      </c>
      <c r="C75" s="9" t="s">
        <v>85</v>
      </c>
      <c r="D75" s="9" t="s">
        <v>85</v>
      </c>
      <c r="E75" s="9" t="s">
        <v>483</v>
      </c>
      <c r="F75" s="9" t="s">
        <v>109</v>
      </c>
      <c r="G75" s="9" t="s">
        <v>467</v>
      </c>
      <c r="H75" s="9" t="s">
        <v>468</v>
      </c>
      <c r="I75" s="9" t="s">
        <v>505</v>
      </c>
      <c r="J75" s="9" t="s">
        <v>484</v>
      </c>
    </row>
    <row r="76" customFormat="false" ht="52" hidden="false" customHeight="true" outlineLevel="0" collapsed="false">
      <c r="A76" s="9" t="s">
        <v>462</v>
      </c>
      <c r="B76" s="9" t="s">
        <v>506</v>
      </c>
      <c r="C76" s="9" t="s">
        <v>339</v>
      </c>
      <c r="D76" s="9" t="s">
        <v>298</v>
      </c>
      <c r="E76" s="9" t="s">
        <v>508</v>
      </c>
      <c r="F76" s="9" t="s">
        <v>509</v>
      </c>
      <c r="G76" s="9" t="s">
        <v>467</v>
      </c>
      <c r="H76" s="9" t="s">
        <v>468</v>
      </c>
      <c r="I76" s="9" t="s">
        <v>510</v>
      </c>
      <c r="J76" s="9" t="s">
        <v>511</v>
      </c>
    </row>
    <row r="77" customFormat="false" ht="52" hidden="false" customHeight="true" outlineLevel="0" collapsed="false">
      <c r="A77" s="9" t="s">
        <v>462</v>
      </c>
      <c r="B77" s="9" t="s">
        <v>512</v>
      </c>
      <c r="C77" s="9" t="s">
        <v>85</v>
      </c>
      <c r="D77" s="9" t="s">
        <v>85</v>
      </c>
      <c r="E77" s="9" t="s">
        <v>483</v>
      </c>
      <c r="F77" s="9" t="s">
        <v>109</v>
      </c>
      <c r="G77" s="9" t="s">
        <v>467</v>
      </c>
      <c r="H77" s="9" t="s">
        <v>468</v>
      </c>
      <c r="I77" s="9" t="s">
        <v>513</v>
      </c>
      <c r="J77" s="9" t="s">
        <v>484</v>
      </c>
    </row>
    <row r="78" customFormat="false" ht="52" hidden="false" customHeight="true" outlineLevel="0" collapsed="false">
      <c r="A78" s="9" t="s">
        <v>514</v>
      </c>
      <c r="B78" s="9" t="s">
        <v>515</v>
      </c>
      <c r="C78" s="9" t="s">
        <v>520</v>
      </c>
      <c r="D78" s="9" t="s">
        <v>520</v>
      </c>
      <c r="E78" s="9" t="s">
        <v>521</v>
      </c>
      <c r="F78" s="9" t="s">
        <v>522</v>
      </c>
      <c r="G78" s="9" t="s">
        <v>518</v>
      </c>
      <c r="H78" s="9" t="s">
        <v>519</v>
      </c>
      <c r="I78" s="9" t="s">
        <v>470</v>
      </c>
      <c r="J78" s="9" t="s">
        <v>523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2026-10-28T17:11:31Z</dcterms:modified>
  <cp:revision>1</cp:revision>
  <dc:subject/>
  <dc:title/>
</cp:coreProperties>
</file>